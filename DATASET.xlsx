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shwini\msc\"/>
    </mc:Choice>
  </mc:AlternateContent>
  <xr:revisionPtr revIDLastSave="0" documentId="13_ncr:1_{A9689CB8-95AE-46CF-9FDF-9700BD97FBE1}" xr6:coauthVersionLast="47" xr6:coauthVersionMax="47" xr10:uidLastSave="{00000000-0000-0000-0000-000000000000}"/>
  <bookViews>
    <workbookView xWindow="-120" yWindow="-120" windowWidth="20730" windowHeight="11040" activeTab="2" xr2:uid="{3A1E24DA-2207-4DA1-BE19-8EF0217572AA}"/>
  </bookViews>
  <sheets>
    <sheet name="Dataset" sheetId="1" r:id="rId1"/>
    <sheet name="Pivot" sheetId="2" r:id="rId2"/>
    <sheet name="Dashboard" sheetId="3" r:id="rId3"/>
  </sheets>
  <definedNames>
    <definedName name="_xlnm._FilterDatabase" localSheetId="1" hidden="1">Pivot!$T$2:$V$2</definedName>
    <definedName name="_xlchart.v2.0" hidden="1">Pivot!$G$3:$G$10</definedName>
    <definedName name="_xlchart.v2.1" hidden="1">Pivot!$H$3:$H$10</definedName>
  </definedNames>
  <calcPr calcId="191029"/>
  <pivotCaches>
    <pivotCache cacheId="9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E8" i="2"/>
  <c r="E7" i="2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Y12" i="2"/>
  <c r="R3" i="2"/>
  <c r="B7" i="2"/>
  <c r="Y13" i="2"/>
  <c r="Q4" i="2"/>
  <c r="E6" i="2"/>
  <c r="Y14" i="2"/>
  <c r="Q3" i="2"/>
  <c r="E5" i="2"/>
  <c r="H8" i="2"/>
  <c r="B8" i="2"/>
  <c r="Y10" i="2"/>
  <c r="N5" i="2"/>
  <c r="E3" i="2"/>
  <c r="H9" i="2"/>
  <c r="Y5" i="2"/>
  <c r="H5" i="2"/>
  <c r="Y6" i="2"/>
  <c r="H10" i="2"/>
  <c r="R4" i="2"/>
  <c r="H3" i="2"/>
  <c r="N3" i="2"/>
  <c r="B5" i="2"/>
  <c r="Y3" i="2"/>
  <c r="B4" i="2"/>
  <c r="Y8" i="2"/>
  <c r="Y11" i="2"/>
  <c r="N7" i="2"/>
  <c r="E4" i="2"/>
  <c r="H7" i="2"/>
  <c r="B6" i="2"/>
  <c r="Y4" i="2"/>
  <c r="N8" i="2"/>
  <c r="B9" i="2"/>
  <c r="Y7" i="2"/>
  <c r="N4" i="2"/>
  <c r="B11" i="2"/>
  <c r="Y9" i="2"/>
  <c r="N6" i="2"/>
  <c r="B10" i="2"/>
  <c r="H6" i="2"/>
  <c r="H4" i="2"/>
  <c r="U3" i="2"/>
  <c r="U5" i="2"/>
  <c r="V5" i="2"/>
  <c r="V4" i="2"/>
  <c r="V6" i="2"/>
  <c r="V7" i="2"/>
  <c r="U4" i="2"/>
  <c r="V8" i="2"/>
  <c r="V9" i="2"/>
  <c r="U8" i="2"/>
  <c r="U7" i="2"/>
  <c r="V3" i="2"/>
  <c r="U6" i="2"/>
  <c r="U9" i="2"/>
  <c r="K3" i="2"/>
  <c r="K10" i="2"/>
  <c r="K6" i="2"/>
  <c r="K11" i="2"/>
  <c r="K9" i="2"/>
  <c r="K14" i="2"/>
  <c r="K5" i="2"/>
  <c r="K8" i="2"/>
  <c r="K7" i="2"/>
  <c r="K4" i="2"/>
  <c r="K12" i="2"/>
  <c r="K13" i="2"/>
</calcChain>
</file>

<file path=xl/sharedStrings.xml><?xml version="1.0" encoding="utf-8"?>
<sst xmlns="http://schemas.openxmlformats.org/spreadsheetml/2006/main" count="1624" uniqueCount="126">
  <si>
    <t>Year</t>
  </si>
  <si>
    <t>Month</t>
  </si>
  <si>
    <t>Hotel Name</t>
  </si>
  <si>
    <t>Country</t>
  </si>
  <si>
    <t>City</t>
  </si>
  <si>
    <t>Customer ID</t>
  </si>
  <si>
    <t>Customer Age</t>
  </si>
  <si>
    <t>Customer Gender</t>
  </si>
  <si>
    <t>Customer Type</t>
  </si>
  <si>
    <t>Booking Date</t>
  </si>
  <si>
    <t>Room Type</t>
  </si>
  <si>
    <t>Booking Status</t>
  </si>
  <si>
    <t>Room Booked</t>
  </si>
  <si>
    <t>Room Available</t>
  </si>
  <si>
    <t>Price</t>
  </si>
  <si>
    <t>Payment Mode</t>
  </si>
  <si>
    <t>Total Revenue</t>
  </si>
  <si>
    <t>Profit</t>
  </si>
  <si>
    <t>Jan</t>
  </si>
  <si>
    <t>Opera House</t>
  </si>
  <si>
    <t>Australia</t>
  </si>
  <si>
    <t>Sydney</t>
  </si>
  <si>
    <t>CID00</t>
  </si>
  <si>
    <t>Female</t>
  </si>
  <si>
    <t>Existing</t>
  </si>
  <si>
    <t>Business Class</t>
  </si>
  <si>
    <t>Cancelled</t>
  </si>
  <si>
    <t>Online</t>
  </si>
  <si>
    <t>Apr</t>
  </si>
  <si>
    <t>Hames Palace</t>
  </si>
  <si>
    <t>United Kingdom</t>
  </si>
  <si>
    <t>London</t>
  </si>
  <si>
    <t>CID01</t>
  </si>
  <si>
    <t>Male</t>
  </si>
  <si>
    <t>Pending</t>
  </si>
  <si>
    <t>Credit Card</t>
  </si>
  <si>
    <t>Jun</t>
  </si>
  <si>
    <t>Marine Resort</t>
  </si>
  <si>
    <t>India</t>
  </si>
  <si>
    <t>Mumbai</t>
  </si>
  <si>
    <t>CID03</t>
  </si>
  <si>
    <t>New</t>
  </si>
  <si>
    <t>Single</t>
  </si>
  <si>
    <t>Confirmed</t>
  </si>
  <si>
    <t>Oct</t>
  </si>
  <si>
    <t>CID08</t>
  </si>
  <si>
    <t>Super Luxury</t>
  </si>
  <si>
    <t>Dec</t>
  </si>
  <si>
    <t>CID09</t>
  </si>
  <si>
    <t>Sharing</t>
  </si>
  <si>
    <t>Cash</t>
  </si>
  <si>
    <t>Sep</t>
  </si>
  <si>
    <t>CID12</t>
  </si>
  <si>
    <t>Mar</t>
  </si>
  <si>
    <t>CID14</t>
  </si>
  <si>
    <t>Aug</t>
  </si>
  <si>
    <t>CID15</t>
  </si>
  <si>
    <t>May</t>
  </si>
  <si>
    <t>CID16</t>
  </si>
  <si>
    <t>Empire Grand</t>
  </si>
  <si>
    <t>United States</t>
  </si>
  <si>
    <t>New York</t>
  </si>
  <si>
    <t>CID17</t>
  </si>
  <si>
    <t>Debit Card</t>
  </si>
  <si>
    <t>CID23</t>
  </si>
  <si>
    <t>Regular</t>
  </si>
  <si>
    <t>CID24</t>
  </si>
  <si>
    <t>CID26</t>
  </si>
  <si>
    <t>Delux</t>
  </si>
  <si>
    <t>Nov</t>
  </si>
  <si>
    <t>Palace Inn</t>
  </si>
  <si>
    <t>United Arab Emirates</t>
  </si>
  <si>
    <t>Abu Dhabi</t>
  </si>
  <si>
    <t>CID27</t>
  </si>
  <si>
    <t>CID33</t>
  </si>
  <si>
    <t>CID36</t>
  </si>
  <si>
    <t>Jul</t>
  </si>
  <si>
    <t>CID38</t>
  </si>
  <si>
    <t>CID39</t>
  </si>
  <si>
    <t>CID43</t>
  </si>
  <si>
    <t>Luxury</t>
  </si>
  <si>
    <t>CID44</t>
  </si>
  <si>
    <t>CID45</t>
  </si>
  <si>
    <t>CID51</t>
  </si>
  <si>
    <t>CID52</t>
  </si>
  <si>
    <t>CID57</t>
  </si>
  <si>
    <t>CID58</t>
  </si>
  <si>
    <t>View Hotel</t>
  </si>
  <si>
    <t>CID60</t>
  </si>
  <si>
    <t>CID61</t>
  </si>
  <si>
    <t>CID63</t>
  </si>
  <si>
    <t>Inn Eve</t>
  </si>
  <si>
    <t>Italy</t>
  </si>
  <si>
    <t>Rome</t>
  </si>
  <si>
    <t>Hotel Sunshine</t>
  </si>
  <si>
    <t>Feb</t>
  </si>
  <si>
    <t>Bangalore</t>
  </si>
  <si>
    <t>Melbourne</t>
  </si>
  <si>
    <t>Milan</t>
  </si>
  <si>
    <t>Los Angeles</t>
  </si>
  <si>
    <t>Chicago</t>
  </si>
  <si>
    <t>Birmingham</t>
  </si>
  <si>
    <t>Row Labels</t>
  </si>
  <si>
    <t>Grand Total</t>
  </si>
  <si>
    <t>Sum of Room Available</t>
  </si>
  <si>
    <t>Sum of Room Booked</t>
  </si>
  <si>
    <t>Count of Customer ID</t>
  </si>
  <si>
    <t>Count of Hotel Name</t>
  </si>
  <si>
    <t>Count of Customer ID2</t>
  </si>
  <si>
    <t>Sum of Profit</t>
  </si>
  <si>
    <t xml:space="preserve">Metric </t>
  </si>
  <si>
    <t>Value</t>
  </si>
  <si>
    <t>Hotel Count</t>
  </si>
  <si>
    <t>Profits</t>
  </si>
  <si>
    <t>Bookings</t>
  </si>
  <si>
    <t>Customers</t>
  </si>
  <si>
    <t>percentage</t>
  </si>
  <si>
    <t xml:space="preserve">Count </t>
  </si>
  <si>
    <t xml:space="preserve"> Room Booked</t>
  </si>
  <si>
    <t>Rooms Available By Hotel Name</t>
  </si>
  <si>
    <t>Rooms Available In City</t>
  </si>
  <si>
    <t>Rooms Booked By Country</t>
  </si>
  <si>
    <t>Count Of Customer Type</t>
  </si>
  <si>
    <t>Rooms  Booked &amp; Availability</t>
  </si>
  <si>
    <t>Profits By Month</t>
  </si>
  <si>
    <t xml:space="preserve">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</si>
</sst>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-* #,##0_-;\-* #,##0_-;_-* &quot;-&quot;??_-;_-@_-"/>
    <numFmt numFmtId="166" formatCode="0,&quot;M&quot;"/>
    <numFmt numFmtId="167" formatCode="0,,&quot;M&quot;"/>
    <numFmt numFmtId="168" formatCode="0,&quot;K&quot;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/>
    <xf numFmtId="14" fontId="2" fillId="0" borderId="0" xfId="0" applyNumberFormat="1" applyFont="1"/>
    <xf numFmtId="165" fontId="2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3" fillId="2" borderId="1" xfId="0" applyFont="1" applyFill="1" applyBorder="1"/>
    <xf numFmtId="10" fontId="0" fillId="0" borderId="0" xfId="0" applyNumberFormat="1"/>
    <xf numFmtId="165" fontId="0" fillId="0" borderId="0" xfId="0" applyNumberFormat="1"/>
    <xf numFmtId="0" fontId="0" fillId="0" borderId="2" xfId="0" applyBorder="1"/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center"/>
    </xf>
    <xf numFmtId="166" fontId="0" fillId="0" borderId="0" xfId="0" applyNumberFormat="1" applyAlignment="1">
      <alignment vertic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horizontal="center" vertical="center"/>
    </xf>
  </cellXfs>
  <cellStyles count="2">
    <cellStyle name="Comma" xfId="1" builtinId="3"/>
    <cellStyle name="Normal" xfId="0" builtinId="0"/>
  </cellStyles>
  <dxfs count="25"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FF0000"/>
                </a:solidFill>
              </a:rPr>
              <a:t>Room Booked By Country</a:t>
            </a:r>
          </a:p>
          <a:p>
            <a:pPr>
              <a:defRPr>
                <a:solidFill>
                  <a:srgbClr val="FF0000"/>
                </a:solidFill>
              </a:defRPr>
            </a:pPr>
            <a:endParaRPr lang="en-IN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1776458951533135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721236337995067E-2"/>
          <c:y val="0.19376356849866128"/>
          <c:w val="0.49656160144161082"/>
          <c:h val="0.73605370125194525"/>
        </c:manualLayout>
      </c:layout>
      <c:doughnutChart>
        <c:varyColors val="1"/>
        <c:ser>
          <c:idx val="0"/>
          <c:order val="0"/>
          <c:tx>
            <c:strRef>
              <c:f>Pivot!$N$2</c:f>
              <c:strCache>
                <c:ptCount val="1"/>
                <c:pt idx="0">
                  <c:v>Sum of Room Booked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DC-4A2B-B225-598B3859D5EA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CDC-4A2B-B225-598B3859D5EA}"/>
              </c:ext>
            </c:extLst>
          </c:dPt>
          <c:dPt>
            <c:idx val="2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CDC-4A2B-B225-598B3859D5EA}"/>
              </c:ext>
            </c:extLst>
          </c:dPt>
          <c:dPt>
            <c:idx val="3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CDC-4A2B-B225-598B3859D5EA}"/>
              </c:ext>
            </c:extLst>
          </c:dPt>
          <c:dPt>
            <c:idx val="4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CDC-4A2B-B225-598B3859D5EA}"/>
              </c:ext>
            </c:extLst>
          </c:dPt>
          <c:dPt>
            <c:idx val="5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CDC-4A2B-B225-598B3859D5EA}"/>
              </c:ext>
            </c:extLst>
          </c:dPt>
          <c:dLbls>
            <c:dLbl>
              <c:idx val="0"/>
              <c:layout>
                <c:manualLayout>
                  <c:x val="5.5721393034825858E-2"/>
                  <c:y val="-5.21739130434782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67961765973283"/>
                      <c:h val="0.2504639963482825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CDC-4A2B-B225-598B3859D5EA}"/>
                </c:ext>
              </c:extLst>
            </c:dLbl>
            <c:dLbl>
              <c:idx val="1"/>
              <c:layout>
                <c:manualLayout>
                  <c:x val="6.9651741293532327E-2"/>
                  <c:y val="0.15248385256190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2418067144592"/>
                      <c:h val="0.1496346000228231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CDC-4A2B-B225-598B3859D5EA}"/>
                </c:ext>
              </c:extLst>
            </c:dLbl>
            <c:dLbl>
              <c:idx val="2"/>
              <c:layout>
                <c:manualLayout>
                  <c:x val="-1.3930348258706489E-2"/>
                  <c:y val="7.856861562947187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425886316449251"/>
                      <c:h val="0.1061519522449074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CDC-4A2B-B225-598B3859D5EA}"/>
                </c:ext>
              </c:extLst>
            </c:dLbl>
            <c:dLbl>
              <c:idx val="3"/>
              <c:layout>
                <c:manualLayout>
                  <c:x val="-6.7661691542288557E-2"/>
                  <c:y val="9.855072463768127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87577858737808"/>
                      <c:h val="0.180898778956978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3CDC-4A2B-B225-598B3859D5EA}"/>
                </c:ext>
              </c:extLst>
            </c:dLbl>
            <c:dLbl>
              <c:idx val="4"/>
              <c:layout>
                <c:manualLayout>
                  <c:x val="-5.3731343283582103E-2"/>
                  <c:y val="6.376811594202896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077627609981587"/>
                      <c:h val="0.2156813876526303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3CDC-4A2B-B225-598B3859D5EA}"/>
                </c:ext>
              </c:extLst>
            </c:dLbl>
            <c:dLbl>
              <c:idx val="5"/>
              <c:layout>
                <c:manualLayout>
                  <c:x val="-0.12935323383084579"/>
                  <c:y val="-7.246376811594204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8736475104791"/>
                      <c:h val="0.163507474609152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3CDC-4A2B-B225-598B3859D5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Pivot!$M$3:$M$8</c:f>
              <c:strCache>
                <c:ptCount val="6"/>
                <c:pt idx="0">
                  <c:v>Australia</c:v>
                </c:pt>
                <c:pt idx="1">
                  <c:v>India</c:v>
                </c:pt>
                <c:pt idx="2">
                  <c:v>Italy</c:v>
                </c:pt>
                <c:pt idx="3">
                  <c:v>United Arab Emirates</c:v>
                </c:pt>
                <c:pt idx="4">
                  <c:v>United Kingdom</c:v>
                </c:pt>
                <c:pt idx="5">
                  <c:v>United States</c:v>
                </c:pt>
              </c:strCache>
            </c:strRef>
          </c:cat>
          <c:val>
            <c:numRef>
              <c:f>Pivot!$N$3:$N$8</c:f>
              <c:numCache>
                <c:formatCode>General</c:formatCode>
                <c:ptCount val="6"/>
                <c:pt idx="0">
                  <c:v>753</c:v>
                </c:pt>
                <c:pt idx="1">
                  <c:v>889</c:v>
                </c:pt>
                <c:pt idx="2">
                  <c:v>352</c:v>
                </c:pt>
                <c:pt idx="3">
                  <c:v>421</c:v>
                </c:pt>
                <c:pt idx="4">
                  <c:v>471</c:v>
                </c:pt>
                <c:pt idx="5">
                  <c:v>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CDC-4A2B-B225-598B3859D5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56406585540448"/>
          <c:y val="0.14584442431421735"/>
          <c:w val="0.36343593414459557"/>
          <c:h val="0.844905581492578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rgbClr val="FF0000"/>
                </a:solidFill>
              </a:rPr>
              <a:t>Profits</a:t>
            </a:r>
            <a:r>
              <a:rPr lang="en-IN" sz="1200" b="1" baseline="0">
                <a:solidFill>
                  <a:srgbClr val="FF0000"/>
                </a:solidFill>
              </a:rPr>
              <a:t> By Month</a:t>
            </a:r>
          </a:p>
          <a:p>
            <a:pPr>
              <a:defRPr sz="1200" b="1">
                <a:solidFill>
                  <a:srgbClr val="FF0000"/>
                </a:solidFill>
              </a:defRPr>
            </a:pPr>
            <a:endParaRPr lang="en-IN" sz="1200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3525345622119815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740986324077903E-3"/>
          <c:y val="6.9286544661369381E-2"/>
          <c:w val="0.99450140325992742"/>
          <c:h val="0.80916070422704012"/>
        </c:manualLayout>
      </c:layout>
      <c:lineChart>
        <c:grouping val="standard"/>
        <c:varyColors val="0"/>
        <c:ser>
          <c:idx val="0"/>
          <c:order val="0"/>
          <c:spPr>
            <a:ln w="349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40000"/>
                  <a:lumOff val="60000"/>
                  <a:alpha val="96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5">
                    <a:lumMod val="40000"/>
                    <a:lumOff val="60000"/>
                    <a:alpha val="96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34925" cap="rnd" cmpd="sng">
                <a:solidFill>
                  <a:schemeClr val="accent2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6A-45EC-9B2A-867DD8706E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Pivot!$X$3:$X$14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Pivot!$Y$3:$Y$14</c:f>
              <c:numCache>
                <c:formatCode>0,"M"</c:formatCode>
                <c:ptCount val="12"/>
                <c:pt idx="0">
                  <c:v>1108296.3</c:v>
                </c:pt>
                <c:pt idx="1">
                  <c:v>953682.00000000012</c:v>
                </c:pt>
                <c:pt idx="2">
                  <c:v>537684.29999999993</c:v>
                </c:pt>
                <c:pt idx="3">
                  <c:v>413129.4</c:v>
                </c:pt>
                <c:pt idx="4">
                  <c:v>916020.29999999993</c:v>
                </c:pt>
                <c:pt idx="5">
                  <c:v>1321515.5999999999</c:v>
                </c:pt>
                <c:pt idx="6">
                  <c:v>369928.80000000005</c:v>
                </c:pt>
                <c:pt idx="7">
                  <c:v>1392664.1999999997</c:v>
                </c:pt>
                <c:pt idx="8">
                  <c:v>809486.10000000009</c:v>
                </c:pt>
                <c:pt idx="9">
                  <c:v>819174.29999999993</c:v>
                </c:pt>
                <c:pt idx="10">
                  <c:v>766944.6</c:v>
                </c:pt>
                <c:pt idx="11">
                  <c:v>1645365.6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A-45EC-9B2A-867DD8706EF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17940271"/>
        <c:axId val="1217926351"/>
      </c:lineChart>
      <c:catAx>
        <c:axId val="121794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926351"/>
        <c:crosses val="autoZero"/>
        <c:auto val="1"/>
        <c:lblAlgn val="ctr"/>
        <c:lblOffset val="100"/>
        <c:noMultiLvlLbl val="0"/>
      </c:catAx>
      <c:valAx>
        <c:axId val="1217926351"/>
        <c:scaling>
          <c:orientation val="minMax"/>
        </c:scaling>
        <c:delete val="1"/>
        <c:axPos val="l"/>
        <c:numFmt formatCode="0,&quot;M&quot;" sourceLinked="1"/>
        <c:majorTickMark val="none"/>
        <c:minorTickMark val="none"/>
        <c:tickLblPos val="nextTo"/>
        <c:crossAx val="121794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FF0000"/>
                </a:solidFill>
              </a:rPr>
              <a:t>Count Of Customer Type </a:t>
            </a:r>
          </a:p>
        </c:rich>
      </c:tx>
      <c:layout>
        <c:manualLayout>
          <c:xMode val="edge"/>
          <c:yMode val="edge"/>
          <c:x val="0.1194342373869933"/>
          <c:y val="1.26984063500030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956255468066482E-2"/>
          <c:y val="0.1479929268876756"/>
          <c:w val="0.86245115193934097"/>
          <c:h val="0.85200707311232438"/>
        </c:manualLayout>
      </c:layout>
      <c:doughnutChart>
        <c:varyColors val="1"/>
        <c:ser>
          <c:idx val="0"/>
          <c:order val="0"/>
          <c:tx>
            <c:strRef>
              <c:f>Pivot!$Q$2</c:f>
              <c:strCache>
                <c:ptCount val="1"/>
                <c:pt idx="0">
                  <c:v>Count 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AE-44D7-9451-3FC104074513}"/>
              </c:ext>
            </c:extLst>
          </c:dPt>
          <c:dPt>
            <c:idx val="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AE-44D7-9451-3FC10407451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 algn="ctr" rtl="0">
                    <a:defRPr lang="en-US" sz="105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6286040633809665"/>
                      <c:h val="0.410049538782882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FAE-44D7-9451-3FC10407451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lang="en-US" sz="105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0259592550931133"/>
                      <c:h val="0.3489027378686668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FAE-44D7-9451-3FC104074513}"/>
                </c:ext>
              </c:extLst>
            </c:dLbl>
            <c:spPr>
              <a:noFill/>
              <a:ln w="6350">
                <a:solidFill>
                  <a:schemeClr val="tx1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Pivot!$P$3:$P$4</c:f>
              <c:strCache>
                <c:ptCount val="2"/>
                <c:pt idx="0">
                  <c:v>Existing</c:v>
                </c:pt>
                <c:pt idx="1">
                  <c:v>New</c:v>
                </c:pt>
              </c:strCache>
            </c:strRef>
          </c:cat>
          <c:val>
            <c:numRef>
              <c:f>Pivot!$Q$3:$Q$4</c:f>
              <c:numCache>
                <c:formatCode>General</c:formatCode>
                <c:ptCount val="2"/>
                <c:pt idx="0">
                  <c:v>95</c:v>
                </c:pt>
                <c:pt idx="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AE-44D7-9451-3FC104074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rgbClr val="FF0000"/>
                </a:solidFill>
              </a:rPr>
              <a:t>Rooms</a:t>
            </a:r>
            <a:r>
              <a:rPr lang="en-IN" sz="1200" b="1" baseline="0">
                <a:solidFill>
                  <a:srgbClr val="FF0000"/>
                </a:solidFill>
              </a:rPr>
              <a:t> Availability In City</a:t>
            </a:r>
            <a:endParaRPr lang="en-IN" sz="1200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9.1666799225854287E-2"/>
                  <c:y val="-9.79675546787402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00C-43F6-990A-A44AA6DD375F}"/>
                </c:ext>
              </c:extLst>
            </c:dLbl>
            <c:dLbl>
              <c:idx val="1"/>
              <c:layout>
                <c:manualLayout>
                  <c:x val="0.1222222222222222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0C-43F6-990A-A44AA6DD375F}"/>
                </c:ext>
              </c:extLst>
            </c:dLbl>
            <c:dLbl>
              <c:idx val="2"/>
              <c:layout>
                <c:manualLayout>
                  <c:x val="0.13055555555555556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00C-43F6-990A-A44AA6DD375F}"/>
                </c:ext>
              </c:extLst>
            </c:dLbl>
            <c:dLbl>
              <c:idx val="3"/>
              <c:layout>
                <c:manualLayout>
                  <c:x val="8.8888888888888892E-2"/>
                  <c:y val="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0C-43F6-990A-A44AA6DD375F}"/>
                </c:ext>
              </c:extLst>
            </c:dLbl>
            <c:dLbl>
              <c:idx val="4"/>
              <c:layout>
                <c:manualLayout>
                  <c:x val="0.14444444444444443"/>
                  <c:y val="0.1527777777777778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00C-43F6-990A-A44AA6DD375F}"/>
                </c:ext>
              </c:extLst>
            </c:dLbl>
            <c:dLbl>
              <c:idx val="5"/>
              <c:layout>
                <c:manualLayout>
                  <c:x val="0.10277777777777777"/>
                  <c:y val="0.2175925925925925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00C-43F6-990A-A44AA6DD375F}"/>
                </c:ext>
              </c:extLst>
            </c:dLbl>
            <c:dLbl>
              <c:idx val="6"/>
              <c:layout>
                <c:manualLayout>
                  <c:x val="0"/>
                  <c:y val="9.2592592592592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00C-43F6-990A-A44AA6DD375F}"/>
                </c:ext>
              </c:extLst>
            </c:dLbl>
            <c:dLbl>
              <c:idx val="7"/>
              <c:layout>
                <c:manualLayout>
                  <c:x val="-5.8333333333333383E-2"/>
                  <c:y val="0.148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00C-43F6-990A-A44AA6DD375F}"/>
                </c:ext>
              </c:extLst>
            </c:dLbl>
            <c:dLbl>
              <c:idx val="8"/>
              <c:layout>
                <c:manualLayout>
                  <c:x val="-7.7777777777777779E-2"/>
                  <c:y val="7.87037037037036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00C-43F6-990A-A44AA6DD375F}"/>
                </c:ext>
              </c:extLst>
            </c:dLbl>
            <c:dLbl>
              <c:idx val="9"/>
              <c:layout>
                <c:manualLayout>
                  <c:x val="-0.1472222222222222"/>
                  <c:y val="5.092592592592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00C-43F6-990A-A44AA6DD375F}"/>
                </c:ext>
              </c:extLst>
            </c:dLbl>
            <c:dLbl>
              <c:idx val="10"/>
              <c:layout>
                <c:manualLayout>
                  <c:x val="-0.21026927189656849"/>
                  <c:y val="-4.8013037831403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00C-43F6-990A-A44AA6DD375F}"/>
                </c:ext>
              </c:extLst>
            </c:dLbl>
            <c:dLbl>
              <c:idx val="11"/>
              <c:layout>
                <c:manualLayout>
                  <c:x val="-3.3333333333333381E-2"/>
                  <c:y val="9.2592592592592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00C-43F6-990A-A44AA6DD37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Pivot!$J$3:$J$14</c:f>
              <c:strCache>
                <c:ptCount val="12"/>
                <c:pt idx="0">
                  <c:v>Abu Dhabi</c:v>
                </c:pt>
                <c:pt idx="1">
                  <c:v>Bangalore</c:v>
                </c:pt>
                <c:pt idx="2">
                  <c:v>Birmingham</c:v>
                </c:pt>
                <c:pt idx="3">
                  <c:v>Chicago</c:v>
                </c:pt>
                <c:pt idx="4">
                  <c:v>London</c:v>
                </c:pt>
                <c:pt idx="5">
                  <c:v>Los Angeles</c:v>
                </c:pt>
                <c:pt idx="6">
                  <c:v>Melbourne</c:v>
                </c:pt>
                <c:pt idx="7">
                  <c:v>Milan</c:v>
                </c:pt>
                <c:pt idx="8">
                  <c:v>Mumbai</c:v>
                </c:pt>
                <c:pt idx="9">
                  <c:v>New York</c:v>
                </c:pt>
                <c:pt idx="10">
                  <c:v>Rome</c:v>
                </c:pt>
                <c:pt idx="11">
                  <c:v>Sydney</c:v>
                </c:pt>
              </c:strCache>
            </c:strRef>
          </c:cat>
          <c:val>
            <c:numRef>
              <c:f>Pivot!$K$3:$K$14</c:f>
              <c:numCache>
                <c:formatCode>General</c:formatCode>
                <c:ptCount val="12"/>
                <c:pt idx="0">
                  <c:v>1902</c:v>
                </c:pt>
                <c:pt idx="1">
                  <c:v>1112</c:v>
                </c:pt>
                <c:pt idx="2">
                  <c:v>1132</c:v>
                </c:pt>
                <c:pt idx="3">
                  <c:v>1504</c:v>
                </c:pt>
                <c:pt idx="4">
                  <c:v>566</c:v>
                </c:pt>
                <c:pt idx="5">
                  <c:v>752</c:v>
                </c:pt>
                <c:pt idx="6">
                  <c:v>1270</c:v>
                </c:pt>
                <c:pt idx="7">
                  <c:v>1352</c:v>
                </c:pt>
                <c:pt idx="8">
                  <c:v>1683</c:v>
                </c:pt>
                <c:pt idx="9">
                  <c:v>752</c:v>
                </c:pt>
                <c:pt idx="10">
                  <c:v>191</c:v>
                </c:pt>
                <c:pt idx="11">
                  <c:v>2472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00C-43F6-990A-A44AA6DD37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47030223"/>
        <c:axId val="947019663"/>
      </c:radarChart>
      <c:catAx>
        <c:axId val="94703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019663"/>
        <c:crosses val="autoZero"/>
        <c:auto val="1"/>
        <c:lblAlgn val="ctr"/>
        <c:lblOffset val="100"/>
        <c:noMultiLvlLbl val="0"/>
      </c:catAx>
      <c:valAx>
        <c:axId val="9470196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47030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1657393516391078"/>
          <c:y val="0.12541666666666668"/>
          <c:w val="0.71215794365618623"/>
          <c:h val="0.8653240740740740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Pivot!$U$2</c:f>
              <c:strCache>
                <c:ptCount val="1"/>
                <c:pt idx="0">
                  <c:v> Room Booked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Pivot!$T$3:$T$9</c:f>
              <c:strCache>
                <c:ptCount val="7"/>
                <c:pt idx="0">
                  <c:v>Luxury</c:v>
                </c:pt>
                <c:pt idx="1">
                  <c:v>Single</c:v>
                </c:pt>
                <c:pt idx="2">
                  <c:v>Regular</c:v>
                </c:pt>
                <c:pt idx="3">
                  <c:v>Business Class</c:v>
                </c:pt>
                <c:pt idx="4">
                  <c:v>Super Luxury</c:v>
                </c:pt>
                <c:pt idx="5">
                  <c:v>Delux</c:v>
                </c:pt>
                <c:pt idx="6">
                  <c:v>Sharing</c:v>
                </c:pt>
              </c:strCache>
            </c:strRef>
          </c:cat>
          <c:val>
            <c:numRef>
              <c:f>Pivot!$U$3:$U$9</c:f>
              <c:numCache>
                <c:formatCode>General</c:formatCode>
                <c:ptCount val="7"/>
                <c:pt idx="0">
                  <c:v>338</c:v>
                </c:pt>
                <c:pt idx="1">
                  <c:v>504</c:v>
                </c:pt>
                <c:pt idx="2">
                  <c:v>413</c:v>
                </c:pt>
                <c:pt idx="3">
                  <c:v>397</c:v>
                </c:pt>
                <c:pt idx="4">
                  <c:v>412</c:v>
                </c:pt>
                <c:pt idx="5">
                  <c:v>456</c:v>
                </c:pt>
                <c:pt idx="6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F-4E9F-AE94-80146B2CDFE2}"/>
            </c:ext>
          </c:extLst>
        </c:ser>
        <c:ser>
          <c:idx val="1"/>
          <c:order val="1"/>
          <c:tx>
            <c:strRef>
              <c:f>Pivot!$V$2</c:f>
              <c:strCache>
                <c:ptCount val="1"/>
                <c:pt idx="0">
                  <c:v>Room Available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Pivot!$T$3:$T$9</c:f>
              <c:strCache>
                <c:ptCount val="7"/>
                <c:pt idx="0">
                  <c:v>Luxury</c:v>
                </c:pt>
                <c:pt idx="1">
                  <c:v>Single</c:v>
                </c:pt>
                <c:pt idx="2">
                  <c:v>Regular</c:v>
                </c:pt>
                <c:pt idx="3">
                  <c:v>Business Class</c:v>
                </c:pt>
                <c:pt idx="4">
                  <c:v>Super Luxury</c:v>
                </c:pt>
                <c:pt idx="5">
                  <c:v>Delux</c:v>
                </c:pt>
                <c:pt idx="6">
                  <c:v>Sharing</c:v>
                </c:pt>
              </c:strCache>
            </c:strRef>
          </c:cat>
          <c:val>
            <c:numRef>
              <c:f>Pivot!$V$3:$V$9</c:f>
              <c:numCache>
                <c:formatCode>General</c:formatCode>
                <c:ptCount val="7"/>
                <c:pt idx="0">
                  <c:v>916</c:v>
                </c:pt>
                <c:pt idx="1">
                  <c:v>1902</c:v>
                </c:pt>
                <c:pt idx="2">
                  <c:v>1951</c:v>
                </c:pt>
                <c:pt idx="3">
                  <c:v>2079</c:v>
                </c:pt>
                <c:pt idx="4">
                  <c:v>2154</c:v>
                </c:pt>
                <c:pt idx="5">
                  <c:v>2163</c:v>
                </c:pt>
                <c:pt idx="6">
                  <c:v>3523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6F-4E9F-AE94-80146B2CDFE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576644768"/>
        <c:axId val="1576636608"/>
      </c:barChart>
      <c:catAx>
        <c:axId val="1576644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36608"/>
        <c:crosses val="autoZero"/>
        <c:auto val="1"/>
        <c:lblAlgn val="ctr"/>
        <c:lblOffset val="100"/>
        <c:noMultiLvlLbl val="0"/>
      </c:catAx>
      <c:valAx>
        <c:axId val="15766366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6644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Top Booked Hotels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 b="1">
              <a:solidFill>
                <a:srgbClr val="FF0000"/>
              </a:solidFill>
            </a:defRPr>
          </a:pPr>
          <a:r>
            <a:rPr lang="en-GB" sz="1200" b="1" i="0" u="none" strike="noStrike" baseline="0">
              <a:solidFill>
                <a:srgbClr val="FF0000"/>
              </a:solidFill>
              <a:latin typeface="Aptos Narrow" panose="02110004020202020204"/>
            </a:rPr>
            <a:t>Top Booked Hotels</a:t>
          </a:r>
        </a:p>
      </cx:txPr>
    </cx:title>
    <cx:plotArea>
      <cx:plotAreaRegion>
        <cx:series layoutId="funnel" uniqueId="{5A2BC5F6-D934-401D-8CF7-56E7BA5B18C5}">
          <cx:spPr>
            <a:solidFill>
              <a:schemeClr val="accent2">
                <a:lumMod val="60000"/>
                <a:lumOff val="40000"/>
              </a:schemeClr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 b="1">
                    <a:solidFill>
                      <a:schemeClr val="tx1"/>
                    </a:solidFill>
                  </a:defRPr>
                </a:pPr>
                <a:endParaRPr lang="en-GB" sz="1000" b="1" i="0" u="none" strike="noStrike" baseline="0">
                  <a:solidFill>
                    <a:schemeClr val="tx1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tx1"/>
                </a:solidFill>
              </a:defRPr>
            </a:pPr>
            <a:endParaRPr lang="en-GB" sz="900" b="1" i="0" u="none" strike="noStrike" baseline="0">
              <a:solidFill>
                <a:schemeClr val="tx1"/>
              </a:solidFill>
              <a:latin typeface="Aptos Narrow" panose="02110004020202020204"/>
            </a:endParaRPr>
          </a:p>
        </cx:txPr>
      </cx:axis>
    </cx:plotArea>
  </cx:chart>
  <cx:spPr>
    <a:solidFill>
      <a:schemeClr val="bg1"/>
    </a:solidFill>
    <a:ln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13" Type="http://schemas.openxmlformats.org/officeDocument/2006/relationships/image" Target="../media/image7.png"/><Relationship Id="rId18" Type="http://schemas.openxmlformats.org/officeDocument/2006/relationships/image" Target="../media/image12.svg"/><Relationship Id="rId26" Type="http://schemas.openxmlformats.org/officeDocument/2006/relationships/image" Target="../media/image20.svg"/><Relationship Id="rId3" Type="http://schemas.openxmlformats.org/officeDocument/2006/relationships/chart" Target="../charts/chart2.xml"/><Relationship Id="rId21" Type="http://schemas.openxmlformats.org/officeDocument/2006/relationships/image" Target="../media/image15.png"/><Relationship Id="rId7" Type="http://schemas.openxmlformats.org/officeDocument/2006/relationships/image" Target="../media/image1.png"/><Relationship Id="rId12" Type="http://schemas.openxmlformats.org/officeDocument/2006/relationships/image" Target="../media/image6.svg"/><Relationship Id="rId17" Type="http://schemas.openxmlformats.org/officeDocument/2006/relationships/image" Target="../media/image11.png"/><Relationship Id="rId25" Type="http://schemas.openxmlformats.org/officeDocument/2006/relationships/image" Target="../media/image19.png"/><Relationship Id="rId2" Type="http://schemas.microsoft.com/office/2014/relationships/chartEx" Target="../charts/chartEx1.xml"/><Relationship Id="rId16" Type="http://schemas.openxmlformats.org/officeDocument/2006/relationships/image" Target="../media/image10.svg"/><Relationship Id="rId20" Type="http://schemas.openxmlformats.org/officeDocument/2006/relationships/image" Target="../media/image14.sv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image" Target="../media/image5.png"/><Relationship Id="rId24" Type="http://schemas.openxmlformats.org/officeDocument/2006/relationships/image" Target="../media/image18.svg"/><Relationship Id="rId5" Type="http://schemas.openxmlformats.org/officeDocument/2006/relationships/chart" Target="../charts/chart4.xml"/><Relationship Id="rId15" Type="http://schemas.openxmlformats.org/officeDocument/2006/relationships/image" Target="../media/image9.png"/><Relationship Id="rId23" Type="http://schemas.openxmlformats.org/officeDocument/2006/relationships/image" Target="../media/image17.png"/><Relationship Id="rId10" Type="http://schemas.openxmlformats.org/officeDocument/2006/relationships/image" Target="../media/image4.svg"/><Relationship Id="rId19" Type="http://schemas.openxmlformats.org/officeDocument/2006/relationships/image" Target="../media/image13.png"/><Relationship Id="rId4" Type="http://schemas.openxmlformats.org/officeDocument/2006/relationships/chart" Target="../charts/chart3.xml"/><Relationship Id="rId9" Type="http://schemas.openxmlformats.org/officeDocument/2006/relationships/image" Target="../media/image3.png"/><Relationship Id="rId14" Type="http://schemas.openxmlformats.org/officeDocument/2006/relationships/image" Target="../media/image8.svg"/><Relationship Id="rId22" Type="http://schemas.openxmlformats.org/officeDocument/2006/relationships/image" Target="../media/image1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85725</xdr:rowOff>
    </xdr:from>
    <xdr:to>
      <xdr:col>17</xdr:col>
      <xdr:colOff>400050</xdr:colOff>
      <xdr:row>32</xdr:row>
      <xdr:rowOff>114300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3C4C61C-77BE-9AF8-EAC5-36C42F886A68}"/>
            </a:ext>
          </a:extLst>
        </xdr:cNvPr>
        <xdr:cNvSpPr/>
      </xdr:nvSpPr>
      <xdr:spPr>
        <a:xfrm>
          <a:off x="1" y="85725"/>
          <a:ext cx="10763249" cy="6124575"/>
        </a:xfrm>
        <a:prstGeom prst="roundRect">
          <a:avLst>
            <a:gd name="adj" fmla="val 163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323851</xdr:colOff>
      <xdr:row>1</xdr:row>
      <xdr:rowOff>57150</xdr:rowOff>
    </xdr:from>
    <xdr:to>
      <xdr:col>17</xdr:col>
      <xdr:colOff>9525</xdr:colOff>
      <xdr:row>4</xdr:row>
      <xdr:rowOff>152400</xdr:rowOff>
    </xdr:to>
    <xdr:sp macro="[0]!RefreshAllData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000FFEC-E444-E1A2-1025-B4BD90A61880}"/>
            </a:ext>
          </a:extLst>
        </xdr:cNvPr>
        <xdr:cNvSpPr/>
      </xdr:nvSpPr>
      <xdr:spPr>
        <a:xfrm>
          <a:off x="323851" y="247650"/>
          <a:ext cx="10048874" cy="666750"/>
        </a:xfrm>
        <a:prstGeom prst="roundRect">
          <a:avLst>
            <a:gd name="adj" fmla="val 6667"/>
          </a:avLst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295275</xdr:colOff>
      <xdr:row>6</xdr:row>
      <xdr:rowOff>114301</xdr:rowOff>
    </xdr:from>
    <xdr:to>
      <xdr:col>17</xdr:col>
      <xdr:colOff>19050</xdr:colOff>
      <xdr:row>8</xdr:row>
      <xdr:rowOff>38101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F79C1E8-6B74-4AF8-98BF-6F5199C854F5}"/>
            </a:ext>
          </a:extLst>
        </xdr:cNvPr>
        <xdr:cNvSpPr/>
      </xdr:nvSpPr>
      <xdr:spPr>
        <a:xfrm>
          <a:off x="295275" y="1257301"/>
          <a:ext cx="10086975" cy="304800"/>
        </a:xfrm>
        <a:prstGeom prst="roundRect">
          <a:avLst>
            <a:gd name="adj" fmla="val 6667"/>
          </a:avLst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76200</xdr:colOff>
      <xdr:row>1</xdr:row>
      <xdr:rowOff>76201</xdr:rowOff>
    </xdr:from>
    <xdr:to>
      <xdr:col>15</xdr:col>
      <xdr:colOff>161924</xdr:colOff>
      <xdr:row>4</xdr:row>
      <xdr:rowOff>104775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BDE0B63-021F-3C33-1AB3-5F7D730F85FA}"/>
            </a:ext>
          </a:extLst>
        </xdr:cNvPr>
        <xdr:cNvSpPr txBox="1"/>
      </xdr:nvSpPr>
      <xdr:spPr>
        <a:xfrm>
          <a:off x="1905000" y="266701"/>
          <a:ext cx="7400924" cy="600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600">
              <a:solidFill>
                <a:schemeClr val="bg1"/>
              </a:solidFill>
            </a:rPr>
            <a:t>Hotel Management Booking Dashboard</a:t>
          </a:r>
        </a:p>
      </xdr:txBody>
    </xdr:sp>
    <xdr:clientData/>
  </xdr:twoCellAnchor>
  <xdr:oneCellAnchor>
    <xdr:from>
      <xdr:col>18</xdr:col>
      <xdr:colOff>533400</xdr:colOff>
      <xdr:row>14</xdr:row>
      <xdr:rowOff>38100</xdr:rowOff>
    </xdr:from>
    <xdr:ext cx="2647950" cy="5334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7C9ED20-6F7B-9386-7F11-4AC5D0D01457}"/>
            </a:ext>
          </a:extLst>
        </xdr:cNvPr>
        <xdr:cNvSpPr txBox="1"/>
      </xdr:nvSpPr>
      <xdr:spPr>
        <a:xfrm>
          <a:off x="11506200" y="2705100"/>
          <a:ext cx="2647950" cy="533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IN" sz="900"/>
        </a:p>
      </xdr:txBody>
    </xdr:sp>
    <xdr:clientData/>
  </xdr:oneCellAnchor>
  <xdr:twoCellAnchor>
    <xdr:from>
      <xdr:col>0</xdr:col>
      <xdr:colOff>342900</xdr:colOff>
      <xdr:row>4</xdr:row>
      <xdr:rowOff>152400</xdr:rowOff>
    </xdr:from>
    <xdr:to>
      <xdr:col>16</xdr:col>
      <xdr:colOff>600075</xdr:colOff>
      <xdr:row>6</xdr:row>
      <xdr:rowOff>104775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1A765EA-146C-F700-87C7-C291C9098A21}"/>
            </a:ext>
          </a:extLst>
        </xdr:cNvPr>
        <xdr:cNvSpPr txBox="1"/>
      </xdr:nvSpPr>
      <xdr:spPr>
        <a:xfrm>
          <a:off x="342900" y="914400"/>
          <a:ext cx="100107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800"/>
            <a:t>Room Available By Hotel Name</a:t>
          </a:r>
        </a:p>
      </xdr:txBody>
    </xdr:sp>
    <xdr:clientData/>
  </xdr:twoCellAnchor>
  <xdr:twoCellAnchor>
    <xdr:from>
      <xdr:col>0</xdr:col>
      <xdr:colOff>323850</xdr:colOff>
      <xdr:row>6</xdr:row>
      <xdr:rowOff>123825</xdr:rowOff>
    </xdr:from>
    <xdr:to>
      <xdr:col>2</xdr:col>
      <xdr:colOff>76199</xdr:colOff>
      <xdr:row>8</xdr:row>
      <xdr:rowOff>9525</xdr:rowOff>
    </xdr:to>
    <xdr:sp macro="" textlink="Pivot!A4">
      <xdr:nvSpPr>
        <xdr:cNvPr id="10" name="TextBox 9">
          <a:extLst>
            <a:ext uri="{FF2B5EF4-FFF2-40B4-BE49-F238E27FC236}">
              <a16:creationId xmlns:a16="http://schemas.microsoft.com/office/drawing/2014/main" id="{6AB3FFEB-862D-6E1B-BAF4-17FA5910BAD1}"/>
            </a:ext>
          </a:extLst>
        </xdr:cNvPr>
        <xdr:cNvSpPr txBox="1"/>
      </xdr:nvSpPr>
      <xdr:spPr>
        <a:xfrm>
          <a:off x="323850" y="1266825"/>
          <a:ext cx="971549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6A8B802-E30A-48EE-B1AA-8F74D984EA8D}" type="TxLink">
            <a:rPr lang="en-US" sz="1100" b="0" i="0" u="none" strike="noStrike">
              <a:solidFill>
                <a:schemeClr val="bg1"/>
              </a:solidFill>
              <a:latin typeface="Aptos Narrow"/>
            </a:rPr>
            <a:pPr algn="ctr"/>
            <a:t>Empire Grand</a:t>
          </a:fld>
          <a:endParaRPr lang="en-IN" sz="1100" b="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552450</xdr:colOff>
      <xdr:row>6</xdr:row>
      <xdr:rowOff>123825</xdr:rowOff>
    </xdr:from>
    <xdr:to>
      <xdr:col>2</xdr:col>
      <xdr:colOff>466725</xdr:colOff>
      <xdr:row>8</xdr:row>
      <xdr:rowOff>0</xdr:rowOff>
    </xdr:to>
    <xdr:sp macro="" textlink="Pivot!B4">
      <xdr:nvSpPr>
        <xdr:cNvPr id="12" name="TextBox 11">
          <a:extLst>
            <a:ext uri="{FF2B5EF4-FFF2-40B4-BE49-F238E27FC236}">
              <a16:creationId xmlns:a16="http://schemas.microsoft.com/office/drawing/2014/main" id="{13504BE8-4CD4-4441-A99C-DC4FD98FDE63}"/>
            </a:ext>
          </a:extLst>
        </xdr:cNvPr>
        <xdr:cNvSpPr txBox="1"/>
      </xdr:nvSpPr>
      <xdr:spPr>
        <a:xfrm>
          <a:off x="1162050" y="1266825"/>
          <a:ext cx="5238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60EA4246-4DE5-4115-A20C-BA8A55A68BC1}" type="TxLink">
            <a:rPr lang="en-US" sz="11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2093</a:t>
          </a:fld>
          <a:endParaRPr lang="en-IN" sz="11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400051</xdr:colOff>
      <xdr:row>6</xdr:row>
      <xdr:rowOff>95250</xdr:rowOff>
    </xdr:from>
    <xdr:to>
      <xdr:col>4</xdr:col>
      <xdr:colOff>228601</xdr:colOff>
      <xdr:row>8</xdr:row>
      <xdr:rowOff>9526</xdr:rowOff>
    </xdr:to>
    <xdr:sp macro="" textlink="Pivot!A5">
      <xdr:nvSpPr>
        <xdr:cNvPr id="15" name="TextBox 14">
          <a:extLst>
            <a:ext uri="{FF2B5EF4-FFF2-40B4-BE49-F238E27FC236}">
              <a16:creationId xmlns:a16="http://schemas.microsoft.com/office/drawing/2014/main" id="{4FF6EE23-459E-43AC-89E8-1316AA13162B}"/>
            </a:ext>
          </a:extLst>
        </xdr:cNvPr>
        <xdr:cNvSpPr txBox="1"/>
      </xdr:nvSpPr>
      <xdr:spPr>
        <a:xfrm>
          <a:off x="1619251" y="1238250"/>
          <a:ext cx="1047750" cy="2952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074FCE9-4310-487E-955F-344F98499589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Hames Palace</a:t>
          </a:fld>
          <a:endParaRPr lang="en-IN" sz="11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57150</xdr:colOff>
      <xdr:row>6</xdr:row>
      <xdr:rowOff>142877</xdr:rowOff>
    </xdr:from>
    <xdr:to>
      <xdr:col>5</xdr:col>
      <xdr:colOff>66675</xdr:colOff>
      <xdr:row>7</xdr:row>
      <xdr:rowOff>171451</xdr:rowOff>
    </xdr:to>
    <xdr:sp macro="" textlink="Pivot!B5">
      <xdr:nvSpPr>
        <xdr:cNvPr id="16" name="TextBox 15">
          <a:extLst>
            <a:ext uri="{FF2B5EF4-FFF2-40B4-BE49-F238E27FC236}">
              <a16:creationId xmlns:a16="http://schemas.microsoft.com/office/drawing/2014/main" id="{02F61008-9BE1-48E2-BCA9-612015AB695C}"/>
            </a:ext>
          </a:extLst>
        </xdr:cNvPr>
        <xdr:cNvSpPr txBox="1"/>
      </xdr:nvSpPr>
      <xdr:spPr>
        <a:xfrm>
          <a:off x="2495550" y="1285877"/>
          <a:ext cx="619125" cy="219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/>
          <a:fld id="{DA5A9780-4B4D-447D-89F8-19668622FC1F}" type="TxLink">
            <a:rPr lang="en-US" sz="11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2120</a:t>
          </a:fld>
          <a:endParaRPr lang="en-IN" sz="11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590550</xdr:colOff>
      <xdr:row>6</xdr:row>
      <xdr:rowOff>104776</xdr:rowOff>
    </xdr:from>
    <xdr:to>
      <xdr:col>6</xdr:col>
      <xdr:colOff>419100</xdr:colOff>
      <xdr:row>8</xdr:row>
      <xdr:rowOff>19050</xdr:rowOff>
    </xdr:to>
    <xdr:sp macro="" textlink="Pivot!A6">
      <xdr:nvSpPr>
        <xdr:cNvPr id="17" name="TextBox 16">
          <a:extLst>
            <a:ext uri="{FF2B5EF4-FFF2-40B4-BE49-F238E27FC236}">
              <a16:creationId xmlns:a16="http://schemas.microsoft.com/office/drawing/2014/main" id="{9B249535-2001-4DAA-A4F3-F95E29076C0A}"/>
            </a:ext>
          </a:extLst>
        </xdr:cNvPr>
        <xdr:cNvSpPr txBox="1"/>
      </xdr:nvSpPr>
      <xdr:spPr>
        <a:xfrm>
          <a:off x="3028950" y="1247776"/>
          <a:ext cx="1047750" cy="295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2AFEFC9-AE16-410C-9630-14FC50EC751D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Hotel Sunshine</a:t>
          </a:fld>
          <a:endParaRPr lang="en-IN" sz="11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209550</xdr:colOff>
      <xdr:row>6</xdr:row>
      <xdr:rowOff>142876</xdr:rowOff>
    </xdr:from>
    <xdr:to>
      <xdr:col>7</xdr:col>
      <xdr:colOff>219075</xdr:colOff>
      <xdr:row>8</xdr:row>
      <xdr:rowOff>1</xdr:rowOff>
    </xdr:to>
    <xdr:sp macro="" textlink="Pivot!B6">
      <xdr:nvSpPr>
        <xdr:cNvPr id="18" name="TextBox 17">
          <a:extLst>
            <a:ext uri="{FF2B5EF4-FFF2-40B4-BE49-F238E27FC236}">
              <a16:creationId xmlns:a16="http://schemas.microsoft.com/office/drawing/2014/main" id="{EE0DD022-3886-4163-8014-ECD071363337}"/>
            </a:ext>
          </a:extLst>
        </xdr:cNvPr>
        <xdr:cNvSpPr txBox="1"/>
      </xdr:nvSpPr>
      <xdr:spPr>
        <a:xfrm>
          <a:off x="3867150" y="1285876"/>
          <a:ext cx="6191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91BAA31-6DF2-4476-81C1-A026D0F42DD6}" type="TxLink">
            <a:rPr lang="en-US" sz="11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1676</a:t>
          </a:fld>
          <a:endParaRPr lang="en-IN" sz="11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123825</xdr:colOff>
      <xdr:row>6</xdr:row>
      <xdr:rowOff>95251</xdr:rowOff>
    </xdr:from>
    <xdr:to>
      <xdr:col>8</xdr:col>
      <xdr:colOff>209551</xdr:colOff>
      <xdr:row>8</xdr:row>
      <xdr:rowOff>38101</xdr:rowOff>
    </xdr:to>
    <xdr:sp macro="" textlink="Pivot!A7">
      <xdr:nvSpPr>
        <xdr:cNvPr id="19" name="TextBox 18">
          <a:extLst>
            <a:ext uri="{FF2B5EF4-FFF2-40B4-BE49-F238E27FC236}">
              <a16:creationId xmlns:a16="http://schemas.microsoft.com/office/drawing/2014/main" id="{9DC02177-E3B1-42B4-9960-459360347F3A}"/>
            </a:ext>
          </a:extLst>
        </xdr:cNvPr>
        <xdr:cNvSpPr txBox="1"/>
      </xdr:nvSpPr>
      <xdr:spPr>
        <a:xfrm>
          <a:off x="4391025" y="1238251"/>
          <a:ext cx="695326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5F09E25-B19F-4D63-A22D-E8BBDA3E628B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Inn Eve</a:t>
          </a:fld>
          <a:endParaRPr lang="en-IN" sz="11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552451</xdr:colOff>
      <xdr:row>6</xdr:row>
      <xdr:rowOff>76200</xdr:rowOff>
    </xdr:from>
    <xdr:to>
      <xdr:col>8</xdr:col>
      <xdr:colOff>571501</xdr:colOff>
      <xdr:row>8</xdr:row>
      <xdr:rowOff>76200</xdr:rowOff>
    </xdr:to>
    <xdr:sp macro="" textlink="Pivot!B7">
      <xdr:nvSpPr>
        <xdr:cNvPr id="20" name="TextBox 19">
          <a:extLst>
            <a:ext uri="{FF2B5EF4-FFF2-40B4-BE49-F238E27FC236}">
              <a16:creationId xmlns:a16="http://schemas.microsoft.com/office/drawing/2014/main" id="{7CB53051-F317-4255-A1B0-2BF278C007C2}"/>
            </a:ext>
          </a:extLst>
        </xdr:cNvPr>
        <xdr:cNvSpPr txBox="1"/>
      </xdr:nvSpPr>
      <xdr:spPr>
        <a:xfrm>
          <a:off x="4819651" y="1219200"/>
          <a:ext cx="628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8737F6D7-7525-49DB-881D-CBED35528919}" type="TxLink">
            <a:rPr lang="en-US" sz="11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589</a:t>
          </a:fld>
          <a:endParaRPr lang="en-IN" sz="11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457201</xdr:colOff>
      <xdr:row>6</xdr:row>
      <xdr:rowOff>142876</xdr:rowOff>
    </xdr:from>
    <xdr:to>
      <xdr:col>10</xdr:col>
      <xdr:colOff>247650</xdr:colOff>
      <xdr:row>8</xdr:row>
      <xdr:rowOff>1</xdr:rowOff>
    </xdr:to>
    <xdr:sp macro="" textlink="Pivot!A8">
      <xdr:nvSpPr>
        <xdr:cNvPr id="21" name="TextBox 20">
          <a:extLst>
            <a:ext uri="{FF2B5EF4-FFF2-40B4-BE49-F238E27FC236}">
              <a16:creationId xmlns:a16="http://schemas.microsoft.com/office/drawing/2014/main" id="{5E990E9A-A882-4D45-B894-88171E856E0D}"/>
            </a:ext>
          </a:extLst>
        </xdr:cNvPr>
        <xdr:cNvSpPr txBox="1"/>
      </xdr:nvSpPr>
      <xdr:spPr>
        <a:xfrm>
          <a:off x="5334001" y="1285876"/>
          <a:ext cx="1009649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BBA7EE3-AABD-4946-9730-A50230313E37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Marine Resort</a:t>
          </a:fld>
          <a:endParaRPr lang="en-IN" sz="11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114301</xdr:colOff>
      <xdr:row>6</xdr:row>
      <xdr:rowOff>142876</xdr:rowOff>
    </xdr:from>
    <xdr:to>
      <xdr:col>10</xdr:col>
      <xdr:colOff>600075</xdr:colOff>
      <xdr:row>8</xdr:row>
      <xdr:rowOff>1</xdr:rowOff>
    </xdr:to>
    <xdr:sp macro="" textlink="Pivot!B8">
      <xdr:nvSpPr>
        <xdr:cNvPr id="22" name="TextBox 21">
          <a:extLst>
            <a:ext uri="{FF2B5EF4-FFF2-40B4-BE49-F238E27FC236}">
              <a16:creationId xmlns:a16="http://schemas.microsoft.com/office/drawing/2014/main" id="{407B6ADE-0F5E-494B-8691-FEF4962F10B3}"/>
            </a:ext>
          </a:extLst>
        </xdr:cNvPr>
        <xdr:cNvSpPr txBox="1"/>
      </xdr:nvSpPr>
      <xdr:spPr>
        <a:xfrm>
          <a:off x="6210301" y="1285876"/>
          <a:ext cx="485774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FC3DC0D-7F9D-47F1-A7A6-B3453375FE61}" type="TxLink">
            <a:rPr lang="en-US" sz="11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3348</a:t>
          </a:fld>
          <a:endParaRPr lang="en-IN" sz="11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476251</xdr:colOff>
      <xdr:row>6</xdr:row>
      <xdr:rowOff>142876</xdr:rowOff>
    </xdr:from>
    <xdr:to>
      <xdr:col>12</xdr:col>
      <xdr:colOff>323851</xdr:colOff>
      <xdr:row>8</xdr:row>
      <xdr:rowOff>1</xdr:rowOff>
    </xdr:to>
    <xdr:sp macro="" textlink="Pivot!A9">
      <xdr:nvSpPr>
        <xdr:cNvPr id="23" name="TextBox 22">
          <a:extLst>
            <a:ext uri="{FF2B5EF4-FFF2-40B4-BE49-F238E27FC236}">
              <a16:creationId xmlns:a16="http://schemas.microsoft.com/office/drawing/2014/main" id="{918596FF-03F5-4ECB-BA3A-4155677BFDC3}"/>
            </a:ext>
          </a:extLst>
        </xdr:cNvPr>
        <xdr:cNvSpPr txBox="1"/>
      </xdr:nvSpPr>
      <xdr:spPr>
        <a:xfrm>
          <a:off x="6572251" y="1285876"/>
          <a:ext cx="106680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D6A2C13-2510-4175-AF4B-2E1E35B4872A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Opera House</a:t>
          </a:fld>
          <a:endParaRPr lang="en-IN" sz="11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161926</xdr:colOff>
      <xdr:row>6</xdr:row>
      <xdr:rowOff>142876</xdr:rowOff>
    </xdr:from>
    <xdr:to>
      <xdr:col>13</xdr:col>
      <xdr:colOff>95250</xdr:colOff>
      <xdr:row>8</xdr:row>
      <xdr:rowOff>1</xdr:rowOff>
    </xdr:to>
    <xdr:sp macro="" textlink="Pivot!B9">
      <xdr:nvSpPr>
        <xdr:cNvPr id="24" name="TextBox 23">
          <a:extLst>
            <a:ext uri="{FF2B5EF4-FFF2-40B4-BE49-F238E27FC236}">
              <a16:creationId xmlns:a16="http://schemas.microsoft.com/office/drawing/2014/main" id="{99ACE49D-2B4D-426A-8AC0-C0AF67521CB4}"/>
            </a:ext>
          </a:extLst>
        </xdr:cNvPr>
        <xdr:cNvSpPr txBox="1"/>
      </xdr:nvSpPr>
      <xdr:spPr>
        <a:xfrm>
          <a:off x="7477126" y="1285876"/>
          <a:ext cx="542924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4EE6A27-4255-48BF-AE3A-0C71A11D70B7}" type="TxLink">
            <a:rPr lang="en-US" sz="11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2100</a:t>
          </a:fld>
          <a:endParaRPr lang="en-IN" sz="11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552450</xdr:colOff>
      <xdr:row>6</xdr:row>
      <xdr:rowOff>142875</xdr:rowOff>
    </xdr:from>
    <xdr:to>
      <xdr:col>14</xdr:col>
      <xdr:colOff>285750</xdr:colOff>
      <xdr:row>8</xdr:row>
      <xdr:rowOff>9525</xdr:rowOff>
    </xdr:to>
    <xdr:sp macro="" textlink="Pivot!A10">
      <xdr:nvSpPr>
        <xdr:cNvPr id="25" name="TextBox 24">
          <a:extLst>
            <a:ext uri="{FF2B5EF4-FFF2-40B4-BE49-F238E27FC236}">
              <a16:creationId xmlns:a16="http://schemas.microsoft.com/office/drawing/2014/main" id="{B039A2F8-B931-4B65-9EBA-805DAA2D5225}"/>
            </a:ext>
          </a:extLst>
        </xdr:cNvPr>
        <xdr:cNvSpPr txBox="1"/>
      </xdr:nvSpPr>
      <xdr:spPr>
        <a:xfrm>
          <a:off x="7867650" y="1285875"/>
          <a:ext cx="9525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8A46D27F-A15F-458E-9BF9-ABFA7AD59D0F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Palace Inn</a:t>
          </a:fld>
          <a:endParaRPr lang="en-IN" sz="11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561975</xdr:colOff>
      <xdr:row>6</xdr:row>
      <xdr:rowOff>142875</xdr:rowOff>
    </xdr:from>
    <xdr:to>
      <xdr:col>15</xdr:col>
      <xdr:colOff>28575</xdr:colOff>
      <xdr:row>8</xdr:row>
      <xdr:rowOff>9525</xdr:rowOff>
    </xdr:to>
    <xdr:sp macro="" textlink="Pivot!B10">
      <xdr:nvSpPr>
        <xdr:cNvPr id="26" name="TextBox 25">
          <a:extLst>
            <a:ext uri="{FF2B5EF4-FFF2-40B4-BE49-F238E27FC236}">
              <a16:creationId xmlns:a16="http://schemas.microsoft.com/office/drawing/2014/main" id="{20D0003D-79DD-4522-B481-5AEDDBAB2191}"/>
            </a:ext>
          </a:extLst>
        </xdr:cNvPr>
        <xdr:cNvSpPr txBox="1"/>
      </xdr:nvSpPr>
      <xdr:spPr>
        <a:xfrm>
          <a:off x="8486775" y="1285875"/>
          <a:ext cx="6858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274E115-9EDA-4A2C-81EC-2F7A5639419A}" type="TxLink">
            <a:rPr lang="en-US" sz="11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998</a:t>
          </a:fld>
          <a:endParaRPr lang="en-IN" sz="11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485775</xdr:colOff>
      <xdr:row>6</xdr:row>
      <xdr:rowOff>123825</xdr:rowOff>
    </xdr:from>
    <xdr:to>
      <xdr:col>16</xdr:col>
      <xdr:colOff>228599</xdr:colOff>
      <xdr:row>8</xdr:row>
      <xdr:rowOff>28575</xdr:rowOff>
    </xdr:to>
    <xdr:sp macro="" textlink="Pivot!A11">
      <xdr:nvSpPr>
        <xdr:cNvPr id="27" name="TextBox 26">
          <a:extLst>
            <a:ext uri="{FF2B5EF4-FFF2-40B4-BE49-F238E27FC236}">
              <a16:creationId xmlns:a16="http://schemas.microsoft.com/office/drawing/2014/main" id="{A7FBB433-266D-41D6-B9F9-833259818278}"/>
            </a:ext>
          </a:extLst>
        </xdr:cNvPr>
        <xdr:cNvSpPr txBox="1"/>
      </xdr:nvSpPr>
      <xdr:spPr>
        <a:xfrm>
          <a:off x="9020175" y="1266825"/>
          <a:ext cx="96202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DBED036-A538-4D2E-8A15-A65B003DB64A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View Hotel</a:t>
          </a:fld>
          <a:endParaRPr lang="en-IN" sz="11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390525</xdr:colOff>
      <xdr:row>6</xdr:row>
      <xdr:rowOff>95250</xdr:rowOff>
    </xdr:from>
    <xdr:to>
      <xdr:col>17</xdr:col>
      <xdr:colOff>114300</xdr:colOff>
      <xdr:row>8</xdr:row>
      <xdr:rowOff>66675</xdr:rowOff>
    </xdr:to>
    <xdr:sp macro="" textlink="Pivot!B11">
      <xdr:nvSpPr>
        <xdr:cNvPr id="28" name="TextBox 27">
          <a:extLst>
            <a:ext uri="{FF2B5EF4-FFF2-40B4-BE49-F238E27FC236}">
              <a16:creationId xmlns:a16="http://schemas.microsoft.com/office/drawing/2014/main" id="{05BBA5AA-4E41-42AF-B2AB-A8AFB64510B8}"/>
            </a:ext>
          </a:extLst>
        </xdr:cNvPr>
        <xdr:cNvSpPr txBox="1"/>
      </xdr:nvSpPr>
      <xdr:spPr>
        <a:xfrm>
          <a:off x="9534525" y="1238250"/>
          <a:ext cx="9429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7832947-F286-4DC3-925F-68CFC78EABE4}" type="TxLink">
            <a:rPr lang="en-US" sz="11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1764</a:t>
          </a:fld>
          <a:endParaRPr lang="en-IN" sz="11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304801</xdr:colOff>
      <xdr:row>9</xdr:row>
      <xdr:rowOff>38101</xdr:rowOff>
    </xdr:from>
    <xdr:to>
      <xdr:col>2</xdr:col>
      <xdr:colOff>400050</xdr:colOff>
      <xdr:row>11</xdr:row>
      <xdr:rowOff>85725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9BBA02B6-1F71-E15C-31E8-CFCA7441AFD7}"/>
            </a:ext>
          </a:extLst>
        </xdr:cNvPr>
        <xdr:cNvSpPr/>
      </xdr:nvSpPr>
      <xdr:spPr>
        <a:xfrm>
          <a:off x="304801" y="1752601"/>
          <a:ext cx="1314449" cy="428624"/>
        </a:xfrm>
        <a:prstGeom prst="roundRect">
          <a:avLst>
            <a:gd name="adj" fmla="val 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285750</xdr:colOff>
      <xdr:row>12</xdr:row>
      <xdr:rowOff>9526</xdr:rowOff>
    </xdr:from>
    <xdr:to>
      <xdr:col>2</xdr:col>
      <xdr:colOff>409575</xdr:colOff>
      <xdr:row>14</xdr:row>
      <xdr:rowOff>57150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C7CA3B8B-816C-45F6-915E-0ACB306E0181}"/>
            </a:ext>
          </a:extLst>
        </xdr:cNvPr>
        <xdr:cNvSpPr/>
      </xdr:nvSpPr>
      <xdr:spPr>
        <a:xfrm>
          <a:off x="285750" y="2295526"/>
          <a:ext cx="1343025" cy="428624"/>
        </a:xfrm>
        <a:prstGeom prst="roundRect">
          <a:avLst>
            <a:gd name="adj" fmla="val 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219075</xdr:colOff>
      <xdr:row>9</xdr:row>
      <xdr:rowOff>47625</xdr:rowOff>
    </xdr:from>
    <xdr:to>
      <xdr:col>2</xdr:col>
      <xdr:colOff>495300</xdr:colOff>
      <xdr:row>10</xdr:row>
      <xdr:rowOff>161925</xdr:rowOff>
    </xdr:to>
    <xdr:sp macro="" textlink="Pivot!D3">
      <xdr:nvSpPr>
        <xdr:cNvPr id="33" name="TextBox 32">
          <a:extLst>
            <a:ext uri="{FF2B5EF4-FFF2-40B4-BE49-F238E27FC236}">
              <a16:creationId xmlns:a16="http://schemas.microsoft.com/office/drawing/2014/main" id="{56433756-8745-1056-63A4-B87DF93814A7}"/>
            </a:ext>
          </a:extLst>
        </xdr:cNvPr>
        <xdr:cNvSpPr txBox="1"/>
      </xdr:nvSpPr>
      <xdr:spPr>
        <a:xfrm>
          <a:off x="828675" y="1762125"/>
          <a:ext cx="8858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35FBB0F-11A5-4F8E-A2D9-092EFCC38F0B}" type="TxLink">
            <a:rPr lang="en-US" sz="11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Hotel Count</a:t>
          </a:fld>
          <a:endParaRPr lang="en-IN" sz="11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38099</xdr:colOff>
      <xdr:row>10</xdr:row>
      <xdr:rowOff>38101</xdr:rowOff>
    </xdr:from>
    <xdr:to>
      <xdr:col>2</xdr:col>
      <xdr:colOff>561974</xdr:colOff>
      <xdr:row>11</xdr:row>
      <xdr:rowOff>85725</xdr:rowOff>
    </xdr:to>
    <xdr:sp macro="" textlink="Pivot!E3">
      <xdr:nvSpPr>
        <xdr:cNvPr id="35" name="TextBox 34">
          <a:extLst>
            <a:ext uri="{FF2B5EF4-FFF2-40B4-BE49-F238E27FC236}">
              <a16:creationId xmlns:a16="http://schemas.microsoft.com/office/drawing/2014/main" id="{222BD3A1-5A2C-43EE-8C4C-C501541C353F}"/>
            </a:ext>
          </a:extLst>
        </xdr:cNvPr>
        <xdr:cNvSpPr txBox="1"/>
      </xdr:nvSpPr>
      <xdr:spPr>
        <a:xfrm>
          <a:off x="1257299" y="1943101"/>
          <a:ext cx="523875" cy="238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E69F791-83D7-42F4-9054-55D25C203113}" type="TxLink">
            <a:rPr lang="en-US" sz="1100" b="1" i="0" u="none" strike="noStrike">
              <a:solidFill>
                <a:schemeClr val="bg1"/>
              </a:solidFill>
              <a:latin typeface="Aptos Narrow"/>
            </a:rPr>
            <a:pPr/>
            <a:t>140</a:t>
          </a:fld>
          <a:endParaRPr lang="en-IN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285750</xdr:colOff>
      <xdr:row>15</xdr:row>
      <xdr:rowOff>38100</xdr:rowOff>
    </xdr:from>
    <xdr:to>
      <xdr:col>2</xdr:col>
      <xdr:colOff>428625</xdr:colOff>
      <xdr:row>17</xdr:row>
      <xdr:rowOff>133349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0A737B87-2209-46DF-AAC9-F873190DB9A7}"/>
            </a:ext>
          </a:extLst>
        </xdr:cNvPr>
        <xdr:cNvSpPr/>
      </xdr:nvSpPr>
      <xdr:spPr>
        <a:xfrm>
          <a:off x="285750" y="2895600"/>
          <a:ext cx="1362075" cy="476249"/>
        </a:xfrm>
        <a:prstGeom prst="roundRect">
          <a:avLst>
            <a:gd name="adj" fmla="val 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295276</xdr:colOff>
      <xdr:row>18</xdr:row>
      <xdr:rowOff>123825</xdr:rowOff>
    </xdr:from>
    <xdr:to>
      <xdr:col>2</xdr:col>
      <xdr:colOff>447676</xdr:colOff>
      <xdr:row>21</xdr:row>
      <xdr:rowOff>47624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C2619131-4859-4E3C-B69C-6C4CEBCC3250}"/>
            </a:ext>
          </a:extLst>
        </xdr:cNvPr>
        <xdr:cNvSpPr/>
      </xdr:nvSpPr>
      <xdr:spPr>
        <a:xfrm>
          <a:off x="295276" y="3552825"/>
          <a:ext cx="1371600" cy="495299"/>
        </a:xfrm>
        <a:prstGeom prst="roundRect">
          <a:avLst>
            <a:gd name="adj" fmla="val 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304801</xdr:colOff>
      <xdr:row>22</xdr:row>
      <xdr:rowOff>19050</xdr:rowOff>
    </xdr:from>
    <xdr:to>
      <xdr:col>2</xdr:col>
      <xdr:colOff>457201</xdr:colOff>
      <xdr:row>24</xdr:row>
      <xdr:rowOff>133349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DC22F87A-03F7-47D8-83AF-219A91E95E0D}"/>
            </a:ext>
          </a:extLst>
        </xdr:cNvPr>
        <xdr:cNvSpPr/>
      </xdr:nvSpPr>
      <xdr:spPr>
        <a:xfrm>
          <a:off x="304801" y="4210050"/>
          <a:ext cx="1371600" cy="495299"/>
        </a:xfrm>
        <a:prstGeom prst="roundRect">
          <a:avLst>
            <a:gd name="adj" fmla="val 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304801</xdr:colOff>
      <xdr:row>25</xdr:row>
      <xdr:rowOff>114300</xdr:rowOff>
    </xdr:from>
    <xdr:to>
      <xdr:col>2</xdr:col>
      <xdr:colOff>466725</xdr:colOff>
      <xdr:row>28</xdr:row>
      <xdr:rowOff>38099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829E5BF7-20BF-4A91-8BB7-845E7FF9C894}"/>
            </a:ext>
          </a:extLst>
        </xdr:cNvPr>
        <xdr:cNvSpPr/>
      </xdr:nvSpPr>
      <xdr:spPr>
        <a:xfrm>
          <a:off x="304801" y="4876800"/>
          <a:ext cx="1381124" cy="495299"/>
        </a:xfrm>
        <a:prstGeom prst="roundRect">
          <a:avLst>
            <a:gd name="adj" fmla="val 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285751</xdr:colOff>
      <xdr:row>29</xdr:row>
      <xdr:rowOff>19050</xdr:rowOff>
    </xdr:from>
    <xdr:to>
      <xdr:col>2</xdr:col>
      <xdr:colOff>476251</xdr:colOff>
      <xdr:row>31</xdr:row>
      <xdr:rowOff>133349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33198A24-F39E-4468-922E-A90A4FFC47BB}"/>
            </a:ext>
          </a:extLst>
        </xdr:cNvPr>
        <xdr:cNvSpPr/>
      </xdr:nvSpPr>
      <xdr:spPr>
        <a:xfrm>
          <a:off x="285751" y="5543550"/>
          <a:ext cx="1409700" cy="495299"/>
        </a:xfrm>
        <a:prstGeom prst="roundRect">
          <a:avLst>
            <a:gd name="adj" fmla="val 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485775</xdr:colOff>
      <xdr:row>11</xdr:row>
      <xdr:rowOff>180975</xdr:rowOff>
    </xdr:from>
    <xdr:to>
      <xdr:col>2</xdr:col>
      <xdr:colOff>600075</xdr:colOff>
      <xdr:row>13</xdr:row>
      <xdr:rowOff>57150</xdr:rowOff>
    </xdr:to>
    <xdr:sp macro="" textlink="Pivot!D4">
      <xdr:nvSpPr>
        <xdr:cNvPr id="42" name="TextBox 41">
          <a:extLst>
            <a:ext uri="{FF2B5EF4-FFF2-40B4-BE49-F238E27FC236}">
              <a16:creationId xmlns:a16="http://schemas.microsoft.com/office/drawing/2014/main" id="{9382274C-D31B-AA97-9151-A072D89F471B}"/>
            </a:ext>
          </a:extLst>
        </xdr:cNvPr>
        <xdr:cNvSpPr txBox="1"/>
      </xdr:nvSpPr>
      <xdr:spPr>
        <a:xfrm>
          <a:off x="1095375" y="2276475"/>
          <a:ext cx="7239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6A3583D-4711-4BE3-803B-94183ECD172F}" type="TxLink">
            <a:rPr lang="en-US" sz="11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Profits</a:t>
          </a:fld>
          <a:endParaRPr lang="en-IN" sz="11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600076</xdr:colOff>
      <xdr:row>13</xdr:row>
      <xdr:rowOff>19049</xdr:rowOff>
    </xdr:from>
    <xdr:to>
      <xdr:col>2</xdr:col>
      <xdr:colOff>523875</xdr:colOff>
      <xdr:row>14</xdr:row>
      <xdr:rowOff>47625</xdr:rowOff>
    </xdr:to>
    <xdr:sp macro="" textlink="Pivot!E4">
      <xdr:nvSpPr>
        <xdr:cNvPr id="44" name="TextBox 43">
          <a:extLst>
            <a:ext uri="{FF2B5EF4-FFF2-40B4-BE49-F238E27FC236}">
              <a16:creationId xmlns:a16="http://schemas.microsoft.com/office/drawing/2014/main" id="{D83BCF90-9A13-416E-9DCE-BEBE685DFCFE}"/>
            </a:ext>
          </a:extLst>
        </xdr:cNvPr>
        <xdr:cNvSpPr txBox="1"/>
      </xdr:nvSpPr>
      <xdr:spPr>
        <a:xfrm>
          <a:off x="1209676" y="2495549"/>
          <a:ext cx="533399" cy="2190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FF44F68-9A52-4C67-A38C-1C7B8897229C}" type="TxLink">
            <a:rPr lang="en-US" sz="11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11M</a:t>
          </a:fld>
          <a:endParaRPr lang="en-IN" sz="11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514350</xdr:colOff>
      <xdr:row>15</xdr:row>
      <xdr:rowOff>9525</xdr:rowOff>
    </xdr:from>
    <xdr:to>
      <xdr:col>2</xdr:col>
      <xdr:colOff>523875</xdr:colOff>
      <xdr:row>16</xdr:row>
      <xdr:rowOff>85725</xdr:rowOff>
    </xdr:to>
    <xdr:sp macro="" textlink="Pivot!D5">
      <xdr:nvSpPr>
        <xdr:cNvPr id="45" name="TextBox 44">
          <a:extLst>
            <a:ext uri="{FF2B5EF4-FFF2-40B4-BE49-F238E27FC236}">
              <a16:creationId xmlns:a16="http://schemas.microsoft.com/office/drawing/2014/main" id="{7094DCDE-E4CA-0B4A-E1D7-ABC2BEF42EC6}"/>
            </a:ext>
          </a:extLst>
        </xdr:cNvPr>
        <xdr:cNvSpPr txBox="1"/>
      </xdr:nvSpPr>
      <xdr:spPr>
        <a:xfrm>
          <a:off x="1123950" y="2867025"/>
          <a:ext cx="6191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92A8232-01EC-4ABA-B6CA-9923CD2D4874}" type="TxLink">
            <a:rPr lang="en-US" sz="11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Rooms </a:t>
          </a:fld>
          <a:endParaRPr lang="en-IN" sz="11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28575</xdr:colOff>
      <xdr:row>16</xdr:row>
      <xdr:rowOff>47625</xdr:rowOff>
    </xdr:from>
    <xdr:to>
      <xdr:col>2</xdr:col>
      <xdr:colOff>485775</xdr:colOff>
      <xdr:row>17</xdr:row>
      <xdr:rowOff>142875</xdr:rowOff>
    </xdr:to>
    <xdr:sp macro="" textlink="Pivot!E5">
      <xdr:nvSpPr>
        <xdr:cNvPr id="46" name="TextBox 45">
          <a:extLst>
            <a:ext uri="{FF2B5EF4-FFF2-40B4-BE49-F238E27FC236}">
              <a16:creationId xmlns:a16="http://schemas.microsoft.com/office/drawing/2014/main" id="{8393D669-6996-42C6-81BC-997534D2D6B3}"/>
            </a:ext>
          </a:extLst>
        </xdr:cNvPr>
        <xdr:cNvSpPr txBox="1"/>
      </xdr:nvSpPr>
      <xdr:spPr>
        <a:xfrm>
          <a:off x="1247775" y="3095625"/>
          <a:ext cx="4572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8ADC8B9-90B2-467D-B5EC-B5A0E9FB71E3}" type="TxLink">
            <a:rPr lang="en-US" sz="11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15K</a:t>
          </a:fld>
          <a:endParaRPr lang="en-IN" sz="11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419099</xdr:colOff>
      <xdr:row>18</xdr:row>
      <xdr:rowOff>123825</xdr:rowOff>
    </xdr:from>
    <xdr:to>
      <xdr:col>2</xdr:col>
      <xdr:colOff>552450</xdr:colOff>
      <xdr:row>19</xdr:row>
      <xdr:rowOff>171450</xdr:rowOff>
    </xdr:to>
    <xdr:sp macro="" textlink="Pivot!D6">
      <xdr:nvSpPr>
        <xdr:cNvPr id="47" name="TextBox 46">
          <a:extLst>
            <a:ext uri="{FF2B5EF4-FFF2-40B4-BE49-F238E27FC236}">
              <a16:creationId xmlns:a16="http://schemas.microsoft.com/office/drawing/2014/main" id="{9896612B-C58E-D3A5-549E-ADE7781E6074}"/>
            </a:ext>
          </a:extLst>
        </xdr:cNvPr>
        <xdr:cNvSpPr txBox="1"/>
      </xdr:nvSpPr>
      <xdr:spPr>
        <a:xfrm>
          <a:off x="1028699" y="3552825"/>
          <a:ext cx="742951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6E1D940-C563-45AC-9F53-9B54044DF602}" type="TxLink">
            <a:rPr lang="en-US" sz="11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Bookings</a:t>
          </a:fld>
          <a:endParaRPr lang="en-IN" sz="11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19049</xdr:colOff>
      <xdr:row>19</xdr:row>
      <xdr:rowOff>171449</xdr:rowOff>
    </xdr:from>
    <xdr:to>
      <xdr:col>2</xdr:col>
      <xdr:colOff>485774</xdr:colOff>
      <xdr:row>21</xdr:row>
      <xdr:rowOff>28574</xdr:rowOff>
    </xdr:to>
    <xdr:sp macro="" textlink="Pivot!E6">
      <xdr:nvSpPr>
        <xdr:cNvPr id="48" name="TextBox 47">
          <a:extLst>
            <a:ext uri="{FF2B5EF4-FFF2-40B4-BE49-F238E27FC236}">
              <a16:creationId xmlns:a16="http://schemas.microsoft.com/office/drawing/2014/main" id="{139A706F-7C86-4D9F-854D-51D97CE2C382}"/>
            </a:ext>
          </a:extLst>
        </xdr:cNvPr>
        <xdr:cNvSpPr txBox="1"/>
      </xdr:nvSpPr>
      <xdr:spPr>
        <a:xfrm>
          <a:off x="1238249" y="3790949"/>
          <a:ext cx="4667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6515E09-7BBF-4069-A008-6D97DADEF1C9}" type="TxLink">
            <a:rPr lang="en-US" sz="11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3370</a:t>
          </a:fld>
          <a:endParaRPr lang="en-IN" sz="11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304800</xdr:colOff>
      <xdr:row>22</xdr:row>
      <xdr:rowOff>9525</xdr:rowOff>
    </xdr:from>
    <xdr:to>
      <xdr:col>2</xdr:col>
      <xdr:colOff>590550</xdr:colOff>
      <xdr:row>23</xdr:row>
      <xdr:rowOff>66674</xdr:rowOff>
    </xdr:to>
    <xdr:sp macro="" textlink="Pivot!D7">
      <xdr:nvSpPr>
        <xdr:cNvPr id="49" name="TextBox 48">
          <a:extLst>
            <a:ext uri="{FF2B5EF4-FFF2-40B4-BE49-F238E27FC236}">
              <a16:creationId xmlns:a16="http://schemas.microsoft.com/office/drawing/2014/main" id="{EACCE733-B0D6-4C5F-AA16-D5F8BA54408D}"/>
            </a:ext>
          </a:extLst>
        </xdr:cNvPr>
        <xdr:cNvSpPr txBox="1"/>
      </xdr:nvSpPr>
      <xdr:spPr>
        <a:xfrm>
          <a:off x="914400" y="4200525"/>
          <a:ext cx="895350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1467617-CE5C-4624-AE33-9F5076435C12}" type="TxLink">
            <a:rPr lang="en-US" sz="11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Customers</a:t>
          </a:fld>
          <a:endParaRPr lang="en-IN" sz="11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190499</xdr:colOff>
      <xdr:row>23</xdr:row>
      <xdr:rowOff>38101</xdr:rowOff>
    </xdr:from>
    <xdr:to>
      <xdr:col>2</xdr:col>
      <xdr:colOff>600074</xdr:colOff>
      <xdr:row>24</xdr:row>
      <xdr:rowOff>123825</xdr:rowOff>
    </xdr:to>
    <xdr:sp macro="" textlink="Pivot!E7">
      <xdr:nvSpPr>
        <xdr:cNvPr id="50" name="TextBox 49">
          <a:extLst>
            <a:ext uri="{FF2B5EF4-FFF2-40B4-BE49-F238E27FC236}">
              <a16:creationId xmlns:a16="http://schemas.microsoft.com/office/drawing/2014/main" id="{DBCB140F-D219-4659-8D66-A0A003B7A095}"/>
            </a:ext>
          </a:extLst>
        </xdr:cNvPr>
        <xdr:cNvSpPr txBox="1"/>
      </xdr:nvSpPr>
      <xdr:spPr>
        <a:xfrm>
          <a:off x="1409699" y="4419601"/>
          <a:ext cx="409575" cy="276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D6ACC15-BACB-4F59-B90C-F29FF7CBF5FA}" type="TxLink">
            <a:rPr lang="en-US" sz="11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28</a:t>
          </a:fld>
          <a:endParaRPr lang="en-IN" sz="11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66674</xdr:colOff>
      <xdr:row>25</xdr:row>
      <xdr:rowOff>114300</xdr:rowOff>
    </xdr:from>
    <xdr:to>
      <xdr:col>2</xdr:col>
      <xdr:colOff>571499</xdr:colOff>
      <xdr:row>27</xdr:row>
      <xdr:rowOff>0</xdr:rowOff>
    </xdr:to>
    <xdr:sp macro="" textlink="Pivot!D8">
      <xdr:nvSpPr>
        <xdr:cNvPr id="51" name="TextBox 50">
          <a:extLst>
            <a:ext uri="{FF2B5EF4-FFF2-40B4-BE49-F238E27FC236}">
              <a16:creationId xmlns:a16="http://schemas.microsoft.com/office/drawing/2014/main" id="{57E56701-E28C-4BF7-AFA1-0F485265005F}"/>
            </a:ext>
          </a:extLst>
        </xdr:cNvPr>
        <xdr:cNvSpPr txBox="1"/>
      </xdr:nvSpPr>
      <xdr:spPr>
        <a:xfrm>
          <a:off x="1285874" y="4876800"/>
          <a:ext cx="5048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F2FF16F-049F-45B1-B41E-0639C6E0B63C}" type="TxLink">
            <a:rPr lang="en-US" sz="11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City</a:t>
          </a:fld>
          <a:endParaRPr lang="en-IN" sz="11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152400</xdr:colOff>
      <xdr:row>26</xdr:row>
      <xdr:rowOff>142875</xdr:rowOff>
    </xdr:from>
    <xdr:to>
      <xdr:col>2</xdr:col>
      <xdr:colOff>600074</xdr:colOff>
      <xdr:row>28</xdr:row>
      <xdr:rowOff>9526</xdr:rowOff>
    </xdr:to>
    <xdr:sp macro="" textlink="Pivot!E8">
      <xdr:nvSpPr>
        <xdr:cNvPr id="52" name="TextBox 51">
          <a:extLst>
            <a:ext uri="{FF2B5EF4-FFF2-40B4-BE49-F238E27FC236}">
              <a16:creationId xmlns:a16="http://schemas.microsoft.com/office/drawing/2014/main" id="{B33C11C3-240E-4107-850C-04B3D4E0B417}"/>
            </a:ext>
          </a:extLst>
        </xdr:cNvPr>
        <xdr:cNvSpPr txBox="1"/>
      </xdr:nvSpPr>
      <xdr:spPr>
        <a:xfrm>
          <a:off x="1371600" y="5095875"/>
          <a:ext cx="447674" cy="247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4A4F592E-F0C8-42FF-8F8C-97F3B6DC64D4}" type="TxLink">
            <a:rPr lang="en-US" sz="11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12</a:t>
          </a:fld>
          <a:endParaRPr lang="en-IN" sz="11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495300</xdr:colOff>
      <xdr:row>29</xdr:row>
      <xdr:rowOff>9525</xdr:rowOff>
    </xdr:from>
    <xdr:to>
      <xdr:col>2</xdr:col>
      <xdr:colOff>533399</xdr:colOff>
      <xdr:row>30</xdr:row>
      <xdr:rowOff>66675</xdr:rowOff>
    </xdr:to>
    <xdr:sp macro="" textlink="Pivot!D9">
      <xdr:nvSpPr>
        <xdr:cNvPr id="53" name="TextBox 52">
          <a:extLst>
            <a:ext uri="{FF2B5EF4-FFF2-40B4-BE49-F238E27FC236}">
              <a16:creationId xmlns:a16="http://schemas.microsoft.com/office/drawing/2014/main" id="{C6516197-C521-409B-8DC5-FE2AB47E75BD}"/>
            </a:ext>
          </a:extLst>
        </xdr:cNvPr>
        <xdr:cNvSpPr txBox="1"/>
      </xdr:nvSpPr>
      <xdr:spPr>
        <a:xfrm>
          <a:off x="1104900" y="5534025"/>
          <a:ext cx="6476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A4291F9-5993-4A31-A15E-E0BA7C506A82}" type="TxLink">
            <a:rPr lang="en-US" sz="11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Country</a:t>
          </a:fld>
          <a:endParaRPr lang="en-IN" sz="11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257174</xdr:colOff>
      <xdr:row>30</xdr:row>
      <xdr:rowOff>9525</xdr:rowOff>
    </xdr:from>
    <xdr:to>
      <xdr:col>3</xdr:col>
      <xdr:colOff>114299</xdr:colOff>
      <xdr:row>31</xdr:row>
      <xdr:rowOff>76200</xdr:rowOff>
    </xdr:to>
    <xdr:sp macro="" textlink="Pivot!E9">
      <xdr:nvSpPr>
        <xdr:cNvPr id="54" name="TextBox 53">
          <a:extLst>
            <a:ext uri="{FF2B5EF4-FFF2-40B4-BE49-F238E27FC236}">
              <a16:creationId xmlns:a16="http://schemas.microsoft.com/office/drawing/2014/main" id="{D3EF9FF1-95F4-4335-9EFB-ACE6ADF3BC17}"/>
            </a:ext>
          </a:extLst>
        </xdr:cNvPr>
        <xdr:cNvSpPr txBox="1"/>
      </xdr:nvSpPr>
      <xdr:spPr>
        <a:xfrm>
          <a:off x="1476374" y="5724525"/>
          <a:ext cx="4667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B26EDFE-6DFD-4A06-A6AB-E0F8E82A61B3}" type="TxLink">
            <a:rPr lang="en-US" sz="11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6</a:t>
          </a:fld>
          <a:endParaRPr lang="en-IN" sz="11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552451</xdr:colOff>
      <xdr:row>8</xdr:row>
      <xdr:rowOff>161926</xdr:rowOff>
    </xdr:from>
    <xdr:to>
      <xdr:col>7</xdr:col>
      <xdr:colOff>276225</xdr:colOff>
      <xdr:row>17</xdr:row>
      <xdr:rowOff>171450</xdr:rowOff>
    </xdr:to>
    <xdr:sp macro="" textlink="">
      <xdr:nvSpPr>
        <xdr:cNvPr id="55" name="Rectangle: Rounded Corners 54">
          <a:extLst>
            <a:ext uri="{FF2B5EF4-FFF2-40B4-BE49-F238E27FC236}">
              <a16:creationId xmlns:a16="http://schemas.microsoft.com/office/drawing/2014/main" id="{3909D557-D6E9-4D38-BCE9-5BC900A6F05E}"/>
            </a:ext>
          </a:extLst>
        </xdr:cNvPr>
        <xdr:cNvSpPr/>
      </xdr:nvSpPr>
      <xdr:spPr>
        <a:xfrm>
          <a:off x="1771651" y="1685926"/>
          <a:ext cx="2771774" cy="1724024"/>
        </a:xfrm>
        <a:prstGeom prst="roundRect">
          <a:avLst>
            <a:gd name="adj" fmla="val 558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561976</xdr:colOff>
      <xdr:row>9</xdr:row>
      <xdr:rowOff>28575</xdr:rowOff>
    </xdr:from>
    <xdr:to>
      <xdr:col>8</xdr:col>
      <xdr:colOff>114300</xdr:colOff>
      <xdr:row>20</xdr:row>
      <xdr:rowOff>114300</xdr:rowOff>
    </xdr:to>
    <xdr:sp macro="" textlink="">
      <xdr:nvSpPr>
        <xdr:cNvPr id="57" name="Rectangle: Rounded Corners 56">
          <a:extLst>
            <a:ext uri="{FF2B5EF4-FFF2-40B4-BE49-F238E27FC236}">
              <a16:creationId xmlns:a16="http://schemas.microsoft.com/office/drawing/2014/main" id="{6E8DDB63-4CD7-4894-AFDE-2D026FB34DAB}"/>
            </a:ext>
          </a:extLst>
        </xdr:cNvPr>
        <xdr:cNvSpPr/>
      </xdr:nvSpPr>
      <xdr:spPr>
        <a:xfrm>
          <a:off x="1781176" y="1743075"/>
          <a:ext cx="3209924" cy="2181225"/>
        </a:xfrm>
        <a:prstGeom prst="roundRect">
          <a:avLst>
            <a:gd name="adj" fmla="val 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561975</xdr:colOff>
      <xdr:row>9</xdr:row>
      <xdr:rowOff>28575</xdr:rowOff>
    </xdr:from>
    <xdr:to>
      <xdr:col>8</xdr:col>
      <xdr:colOff>114300</xdr:colOff>
      <xdr:row>20</xdr:row>
      <xdr:rowOff>123825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F869E837-0754-4FF4-889B-A7DFB4F57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295276</xdr:colOff>
      <xdr:row>9</xdr:row>
      <xdr:rowOff>38100</xdr:rowOff>
    </xdr:from>
    <xdr:to>
      <xdr:col>13</xdr:col>
      <xdr:colOff>133350</xdr:colOff>
      <xdr:row>20</xdr:row>
      <xdr:rowOff>114299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92D6475-D497-4F69-9157-F8412D3D54ED}"/>
            </a:ext>
          </a:extLst>
        </xdr:cNvPr>
        <xdr:cNvSpPr/>
      </xdr:nvSpPr>
      <xdr:spPr>
        <a:xfrm>
          <a:off x="5172076" y="1752600"/>
          <a:ext cx="2886074" cy="2171699"/>
        </a:xfrm>
        <a:prstGeom prst="roundRect">
          <a:avLst>
            <a:gd name="adj" fmla="val 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276226</xdr:colOff>
      <xdr:row>9</xdr:row>
      <xdr:rowOff>9525</xdr:rowOff>
    </xdr:from>
    <xdr:to>
      <xdr:col>13</xdr:col>
      <xdr:colOff>142875</xdr:colOff>
      <xdr:row>20</xdr:row>
      <xdr:rowOff>114300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83EF6A3C-308A-49A6-852E-5C806FBFF7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53026" y="1724025"/>
              <a:ext cx="2914649" cy="2200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571500</xdr:colOff>
      <xdr:row>21</xdr:row>
      <xdr:rowOff>57150</xdr:rowOff>
    </xdr:from>
    <xdr:to>
      <xdr:col>9</xdr:col>
      <xdr:colOff>419100</xdr:colOff>
      <xdr:row>31</xdr:row>
      <xdr:rowOff>152400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EAA57A5B-175B-4DF9-B105-85BAF80B823A}"/>
            </a:ext>
          </a:extLst>
        </xdr:cNvPr>
        <xdr:cNvSpPr/>
      </xdr:nvSpPr>
      <xdr:spPr>
        <a:xfrm>
          <a:off x="1790700" y="4057650"/>
          <a:ext cx="4114800" cy="2000250"/>
        </a:xfrm>
        <a:prstGeom prst="roundRect">
          <a:avLst>
            <a:gd name="adj" fmla="val 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552451</xdr:colOff>
      <xdr:row>21</xdr:row>
      <xdr:rowOff>28574</xdr:rowOff>
    </xdr:from>
    <xdr:to>
      <xdr:col>9</xdr:col>
      <xdr:colOff>419101</xdr:colOff>
      <xdr:row>32</xdr:row>
      <xdr:rowOff>19049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F52BF26A-9D80-4D45-AE3E-79DC806868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542925</xdr:colOff>
      <xdr:row>21</xdr:row>
      <xdr:rowOff>66675</xdr:rowOff>
    </xdr:from>
    <xdr:to>
      <xdr:col>13</xdr:col>
      <xdr:colOff>133350</xdr:colOff>
      <xdr:row>31</xdr:row>
      <xdr:rowOff>171450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BAE18120-D1B7-4B37-8B64-D022E555EB20}"/>
            </a:ext>
          </a:extLst>
        </xdr:cNvPr>
        <xdr:cNvSpPr/>
      </xdr:nvSpPr>
      <xdr:spPr>
        <a:xfrm>
          <a:off x="6029325" y="4067175"/>
          <a:ext cx="2028825" cy="2009775"/>
        </a:xfrm>
        <a:prstGeom prst="roundRect">
          <a:avLst>
            <a:gd name="adj" fmla="val 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504824</xdr:colOff>
      <xdr:row>21</xdr:row>
      <xdr:rowOff>47625</xdr:rowOff>
    </xdr:from>
    <xdr:to>
      <xdr:col>13</xdr:col>
      <xdr:colOff>152399</xdr:colOff>
      <xdr:row>32</xdr:row>
      <xdr:rowOff>19050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A009D4E4-2B3B-4FF1-B2D7-DC826FE428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285751</xdr:colOff>
      <xdr:row>21</xdr:row>
      <xdr:rowOff>66675</xdr:rowOff>
    </xdr:from>
    <xdr:to>
      <xdr:col>17</xdr:col>
      <xdr:colOff>238125</xdr:colOff>
      <xdr:row>32</xdr:row>
      <xdr:rowOff>9525</xdr:rowOff>
    </xdr:to>
    <xdr:sp macro="" textlink="">
      <xdr:nvSpPr>
        <xdr:cNvPr id="58" name="Rectangle: Rounded Corners 57">
          <a:extLst>
            <a:ext uri="{FF2B5EF4-FFF2-40B4-BE49-F238E27FC236}">
              <a16:creationId xmlns:a16="http://schemas.microsoft.com/office/drawing/2014/main" id="{D56A8C1A-D85A-4155-8B04-CF7F48973267}"/>
            </a:ext>
          </a:extLst>
        </xdr:cNvPr>
        <xdr:cNvSpPr/>
      </xdr:nvSpPr>
      <xdr:spPr>
        <a:xfrm>
          <a:off x="8210551" y="4067175"/>
          <a:ext cx="2390774" cy="2038350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219075</xdr:colOff>
      <xdr:row>9</xdr:row>
      <xdr:rowOff>19050</xdr:rowOff>
    </xdr:from>
    <xdr:to>
      <xdr:col>17</xdr:col>
      <xdr:colOff>238125</xdr:colOff>
      <xdr:row>20</xdr:row>
      <xdr:rowOff>114300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94CF2A4C-B28C-471E-A665-9DBFD4E80E85}"/>
            </a:ext>
          </a:extLst>
        </xdr:cNvPr>
        <xdr:cNvSpPr/>
      </xdr:nvSpPr>
      <xdr:spPr>
        <a:xfrm>
          <a:off x="8143875" y="1733550"/>
          <a:ext cx="2457450" cy="2190750"/>
        </a:xfrm>
        <a:prstGeom prst="roundRect">
          <a:avLst>
            <a:gd name="adj" fmla="val 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200025</xdr:colOff>
      <xdr:row>9</xdr:row>
      <xdr:rowOff>0</xdr:rowOff>
    </xdr:from>
    <xdr:to>
      <xdr:col>17</xdr:col>
      <xdr:colOff>257174</xdr:colOff>
      <xdr:row>20</xdr:row>
      <xdr:rowOff>104775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240D6C5E-F745-4C83-B843-99941BFA7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276225</xdr:colOff>
      <xdr:row>21</xdr:row>
      <xdr:rowOff>57151</xdr:rowOff>
    </xdr:from>
    <xdr:to>
      <xdr:col>17</xdr:col>
      <xdr:colOff>247650</xdr:colOff>
      <xdr:row>32</xdr:row>
      <xdr:rowOff>19051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F7418831-BD4B-4C16-9569-B8B331808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295275</xdr:colOff>
      <xdr:row>22</xdr:row>
      <xdr:rowOff>47625</xdr:rowOff>
    </xdr:from>
    <xdr:to>
      <xdr:col>1</xdr:col>
      <xdr:colOff>352425</xdr:colOff>
      <xdr:row>24</xdr:row>
      <xdr:rowOff>114301</xdr:rowOff>
    </xdr:to>
    <xdr:pic>
      <xdr:nvPicPr>
        <xdr:cNvPr id="62" name="Graphic 61" descr="Target Audience with solid fill">
          <a:extLst>
            <a:ext uri="{FF2B5EF4-FFF2-40B4-BE49-F238E27FC236}">
              <a16:creationId xmlns:a16="http://schemas.microsoft.com/office/drawing/2014/main" id="{7364C0F7-803A-2BB5-19FC-0ED61F874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95275" y="4238625"/>
          <a:ext cx="666750" cy="44767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18</xdr:row>
      <xdr:rowOff>161925</xdr:rowOff>
    </xdr:from>
    <xdr:to>
      <xdr:col>1</xdr:col>
      <xdr:colOff>333375</xdr:colOff>
      <xdr:row>21</xdr:row>
      <xdr:rowOff>19050</xdr:rowOff>
    </xdr:to>
    <xdr:pic>
      <xdr:nvPicPr>
        <xdr:cNvPr id="64" name="Graphic 63" descr="Typewriter with solid fill">
          <a:extLst>
            <a:ext uri="{FF2B5EF4-FFF2-40B4-BE49-F238E27FC236}">
              <a16:creationId xmlns:a16="http://schemas.microsoft.com/office/drawing/2014/main" id="{1280B2DF-0668-A0B5-22F6-B2DC3988D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85750" y="3590925"/>
          <a:ext cx="657225" cy="428625"/>
        </a:xfrm>
        <a:prstGeom prst="rect">
          <a:avLst/>
        </a:prstGeom>
      </xdr:spPr>
    </xdr:pic>
    <xdr:clientData/>
  </xdr:twoCellAnchor>
  <xdr:twoCellAnchor editAs="oneCell">
    <xdr:from>
      <xdr:col>0</xdr:col>
      <xdr:colOff>295276</xdr:colOff>
      <xdr:row>12</xdr:row>
      <xdr:rowOff>19050</xdr:rowOff>
    </xdr:from>
    <xdr:to>
      <xdr:col>1</xdr:col>
      <xdr:colOff>304800</xdr:colOff>
      <xdr:row>14</xdr:row>
      <xdr:rowOff>38100</xdr:rowOff>
    </xdr:to>
    <xdr:pic>
      <xdr:nvPicPr>
        <xdr:cNvPr id="68" name="Graphic 67" descr="Money with solid fill">
          <a:extLst>
            <a:ext uri="{FF2B5EF4-FFF2-40B4-BE49-F238E27FC236}">
              <a16:creationId xmlns:a16="http://schemas.microsoft.com/office/drawing/2014/main" id="{5A54F3F6-B0FE-F078-6428-C3EDD923E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95276" y="2305050"/>
          <a:ext cx="619124" cy="400050"/>
        </a:xfrm>
        <a:prstGeom prst="rect">
          <a:avLst/>
        </a:prstGeom>
      </xdr:spPr>
    </xdr:pic>
    <xdr:clientData/>
  </xdr:twoCellAnchor>
  <xdr:twoCellAnchor editAs="oneCell">
    <xdr:from>
      <xdr:col>0</xdr:col>
      <xdr:colOff>247575</xdr:colOff>
      <xdr:row>9</xdr:row>
      <xdr:rowOff>57150</xdr:rowOff>
    </xdr:from>
    <xdr:to>
      <xdr:col>1</xdr:col>
      <xdr:colOff>276225</xdr:colOff>
      <xdr:row>11</xdr:row>
      <xdr:rowOff>85725</xdr:rowOff>
    </xdr:to>
    <xdr:pic>
      <xdr:nvPicPr>
        <xdr:cNvPr id="70" name="Graphic 69" descr="Building with solid fill">
          <a:extLst>
            <a:ext uri="{FF2B5EF4-FFF2-40B4-BE49-F238E27FC236}">
              <a16:creationId xmlns:a16="http://schemas.microsoft.com/office/drawing/2014/main" id="{AB271B2B-1AA4-9F33-312E-ECCDC2111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47575" y="1771650"/>
          <a:ext cx="638250" cy="409575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25</xdr:row>
      <xdr:rowOff>133350</xdr:rowOff>
    </xdr:from>
    <xdr:to>
      <xdr:col>1</xdr:col>
      <xdr:colOff>428625</xdr:colOff>
      <xdr:row>28</xdr:row>
      <xdr:rowOff>38100</xdr:rowOff>
    </xdr:to>
    <xdr:pic>
      <xdr:nvPicPr>
        <xdr:cNvPr id="72" name="Graphic 71" descr="City with solid fill">
          <a:extLst>
            <a:ext uri="{FF2B5EF4-FFF2-40B4-BE49-F238E27FC236}">
              <a16:creationId xmlns:a16="http://schemas.microsoft.com/office/drawing/2014/main" id="{4C733BD8-D81D-DEC9-4019-0104B9256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3375" y="4895850"/>
          <a:ext cx="7048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266699</xdr:colOff>
      <xdr:row>29</xdr:row>
      <xdr:rowOff>0</xdr:rowOff>
    </xdr:from>
    <xdr:to>
      <xdr:col>1</xdr:col>
      <xdr:colOff>504824</xdr:colOff>
      <xdr:row>31</xdr:row>
      <xdr:rowOff>114300</xdr:rowOff>
    </xdr:to>
    <xdr:pic>
      <xdr:nvPicPr>
        <xdr:cNvPr id="74" name="Graphic 73" descr="Asia with solid fill">
          <a:extLst>
            <a:ext uri="{FF2B5EF4-FFF2-40B4-BE49-F238E27FC236}">
              <a16:creationId xmlns:a16="http://schemas.microsoft.com/office/drawing/2014/main" id="{1433DBB4-5168-CC9C-0B88-959DFBA3D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66699" y="5524500"/>
          <a:ext cx="847725" cy="49530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15</xdr:row>
      <xdr:rowOff>47625</xdr:rowOff>
    </xdr:from>
    <xdr:to>
      <xdr:col>1</xdr:col>
      <xdr:colOff>361949</xdr:colOff>
      <xdr:row>17</xdr:row>
      <xdr:rowOff>114300</xdr:rowOff>
    </xdr:to>
    <xdr:pic>
      <xdr:nvPicPr>
        <xdr:cNvPr id="76" name="Graphic 75" descr="Home with solid fill">
          <a:extLst>
            <a:ext uri="{FF2B5EF4-FFF2-40B4-BE49-F238E27FC236}">
              <a16:creationId xmlns:a16="http://schemas.microsoft.com/office/drawing/2014/main" id="{7DE40FF4-5345-502B-A226-5D92D44B1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04800" y="2905125"/>
          <a:ext cx="666749" cy="447675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571500</xdr:colOff>
      <xdr:row>13</xdr:row>
      <xdr:rowOff>161925</xdr:rowOff>
    </xdr:from>
    <xdr:to>
      <xdr:col>5</xdr:col>
      <xdr:colOff>266700</xdr:colOff>
      <xdr:row>17</xdr:row>
      <xdr:rowOff>47625</xdr:rowOff>
    </xdr:to>
    <xdr:pic>
      <xdr:nvPicPr>
        <xdr:cNvPr id="78" name="Graphic 77" descr="Target Audience outline">
          <a:extLst>
            <a:ext uri="{FF2B5EF4-FFF2-40B4-BE49-F238E27FC236}">
              <a16:creationId xmlns:a16="http://schemas.microsoft.com/office/drawing/2014/main" id="{831E900A-515B-E3FE-DD45-CAA370754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400300" y="2638425"/>
          <a:ext cx="914400" cy="647700"/>
        </a:xfrm>
        <a:prstGeom prst="rect">
          <a:avLst/>
        </a:prstGeom>
      </xdr:spPr>
    </xdr:pic>
    <xdr:clientData/>
  </xdr:twoCellAnchor>
  <xdr:twoCellAnchor editAs="oneCell">
    <xdr:from>
      <xdr:col>10</xdr:col>
      <xdr:colOff>438150</xdr:colOff>
      <xdr:row>24</xdr:row>
      <xdr:rowOff>133350</xdr:rowOff>
    </xdr:from>
    <xdr:to>
      <xdr:col>12</xdr:col>
      <xdr:colOff>133350</xdr:colOff>
      <xdr:row>29</xdr:row>
      <xdr:rowOff>95250</xdr:rowOff>
    </xdr:to>
    <xdr:pic>
      <xdr:nvPicPr>
        <xdr:cNvPr id="80" name="Graphic 79" descr="Cycle with people with solid fill">
          <a:extLst>
            <a:ext uri="{FF2B5EF4-FFF2-40B4-BE49-F238E27FC236}">
              <a16:creationId xmlns:a16="http://schemas.microsoft.com/office/drawing/2014/main" id="{46EEEC46-3622-48C1-9B7A-ACC47EABB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6534150" y="47053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0</xdr:row>
      <xdr:rowOff>114300</xdr:rowOff>
    </xdr:from>
    <xdr:to>
      <xdr:col>2</xdr:col>
      <xdr:colOff>438150</xdr:colOff>
      <xdr:row>5</xdr:row>
      <xdr:rowOff>76200</xdr:rowOff>
    </xdr:to>
    <xdr:pic>
      <xdr:nvPicPr>
        <xdr:cNvPr id="82" name="Graphic 81" descr="City with solid fill">
          <a:extLst>
            <a:ext uri="{FF2B5EF4-FFF2-40B4-BE49-F238E27FC236}">
              <a16:creationId xmlns:a16="http://schemas.microsoft.com/office/drawing/2014/main" id="{C09C2F7E-C917-BA58-F2CF-1289A3600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742950" y="1143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15</xdr:col>
      <xdr:colOff>266699</xdr:colOff>
      <xdr:row>1</xdr:row>
      <xdr:rowOff>85725</xdr:rowOff>
    </xdr:from>
    <xdr:to>
      <xdr:col>16</xdr:col>
      <xdr:colOff>514350</xdr:colOff>
      <xdr:row>4</xdr:row>
      <xdr:rowOff>142875</xdr:rowOff>
    </xdr:to>
    <xdr:pic macro="[0]!RefreshAllData">
      <xdr:nvPicPr>
        <xdr:cNvPr id="84" name="Graphic 83" descr="Repeat with solid fill">
          <a:extLst>
            <a:ext uri="{FF2B5EF4-FFF2-40B4-BE49-F238E27FC236}">
              <a16:creationId xmlns:a16="http://schemas.microsoft.com/office/drawing/2014/main" id="{D90BFDB5-F8DB-357A-4936-1F928EC79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9410699" y="276225"/>
          <a:ext cx="857251" cy="6286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95.520460069441" createdVersion="8" refreshedVersion="8" minRefreshableVersion="3" recordCount="140" xr:uid="{A9770158-58CB-4310-8140-8B0882E49159}">
  <cacheSource type="worksheet">
    <worksheetSource name="Table2"/>
  </cacheSource>
  <cacheFields count="18">
    <cacheField name="Year" numFmtId="0">
      <sharedItems containsSemiMixedTypes="0" containsString="0" containsNumber="1" containsInteger="1" minValue="2022" maxValue="2023"/>
    </cacheField>
    <cacheField name="Month" numFmtId="0">
      <sharedItems count="12">
        <s v="Jan"/>
        <s v="Apr"/>
        <s v="Jun"/>
        <s v="Oct"/>
        <s v="Dec"/>
        <s v="Sep"/>
        <s v="Mar"/>
        <s v="Aug"/>
        <s v="May"/>
        <s v="Nov"/>
        <s v="Jul"/>
        <s v="Feb"/>
      </sharedItems>
    </cacheField>
    <cacheField name="Hotel Name" numFmtId="0">
      <sharedItems count="8">
        <s v="Opera House"/>
        <s v="Hames Palace"/>
        <s v="Marine Resort"/>
        <s v="Empire Grand"/>
        <s v="Palace Inn"/>
        <s v="View Hotel"/>
        <s v="Inn Eve"/>
        <s v="Hotel Sunshine"/>
      </sharedItems>
    </cacheField>
    <cacheField name="Country" numFmtId="0">
      <sharedItems count="6">
        <s v="Australia"/>
        <s v="United Kingdom"/>
        <s v="India"/>
        <s v="United States"/>
        <s v="United Arab Emirates"/>
        <s v="Italy"/>
      </sharedItems>
    </cacheField>
    <cacheField name="City" numFmtId="0">
      <sharedItems count="12">
        <s v="Sydney"/>
        <s v="London"/>
        <s v="Mumbai"/>
        <s v="New York"/>
        <s v="Abu Dhabi"/>
        <s v="Rome"/>
        <s v="Bangalore"/>
        <s v="Melbourne"/>
        <s v="Milan"/>
        <s v="Los Angeles"/>
        <s v="Chicago"/>
        <s v="Birmingham"/>
      </sharedItems>
    </cacheField>
    <cacheField name="Customer ID" numFmtId="0">
      <sharedItems count="28">
        <s v="CID00"/>
        <s v="CID01"/>
        <s v="CID03"/>
        <s v="CID08"/>
        <s v="CID09"/>
        <s v="CID12"/>
        <s v="CID14"/>
        <s v="CID15"/>
        <s v="CID16"/>
        <s v="CID17"/>
        <s v="CID23"/>
        <s v="CID24"/>
        <s v="CID26"/>
        <s v="CID27"/>
        <s v="CID33"/>
        <s v="CID36"/>
        <s v="CID38"/>
        <s v="CID39"/>
        <s v="CID43"/>
        <s v="CID44"/>
        <s v="CID45"/>
        <s v="CID51"/>
        <s v="CID52"/>
        <s v="CID57"/>
        <s v="CID58"/>
        <s v="CID60"/>
        <s v="CID61"/>
        <s v="CID63"/>
      </sharedItems>
    </cacheField>
    <cacheField name="Customer Age" numFmtId="0">
      <sharedItems containsSemiMixedTypes="0" containsString="0" containsNumber="1" containsInteger="1" minValue="19" maxValue="72"/>
    </cacheField>
    <cacheField name="Customer Gender" numFmtId="0">
      <sharedItems/>
    </cacheField>
    <cacheField name="Customer Type" numFmtId="0">
      <sharedItems count="2">
        <s v="Existing"/>
        <s v="New"/>
      </sharedItems>
    </cacheField>
    <cacheField name="Booking Date" numFmtId="14">
      <sharedItems containsSemiMixedTypes="0" containsNonDate="0" containsDate="1" containsString="0" minDate="2022-01-09T00:00:00" maxDate="2024-01-01T00:00:00"/>
    </cacheField>
    <cacheField name="Room Type" numFmtId="0">
      <sharedItems count="7">
        <s v="Business Class"/>
        <s v="Single"/>
        <s v="Super Luxury"/>
        <s v="Sharing"/>
        <s v="Regular"/>
        <s v="Delux"/>
        <s v="Luxury"/>
      </sharedItems>
    </cacheField>
    <cacheField name="Booking Status" numFmtId="0">
      <sharedItems/>
    </cacheField>
    <cacheField name="Room Booked" numFmtId="0">
      <sharedItems containsSemiMixedTypes="0" containsString="0" containsNumber="1" containsInteger="1" minValue="1" maxValue="76"/>
    </cacheField>
    <cacheField name="Room Available" numFmtId="0">
      <sharedItems containsSemiMixedTypes="0" containsString="0" containsNumber="1" containsInteger="1" minValue="77" maxValue="125"/>
    </cacheField>
    <cacheField name="Price" numFmtId="0">
      <sharedItems containsSemiMixedTypes="0" containsString="0" containsNumber="1" containsInteger="1" minValue="340" maxValue="252768"/>
    </cacheField>
    <cacheField name="Payment Mode" numFmtId="0">
      <sharedItems/>
    </cacheField>
    <cacheField name="Total Revenue" numFmtId="165">
      <sharedItems containsSemiMixedTypes="0" containsString="0" containsNumber="1" containsInteger="1" minValue="2458" maxValue="12267008"/>
    </cacheField>
    <cacheField name="Profit" numFmtId="165">
      <sharedItems containsSemiMixedTypes="0" containsString="0" containsNumber="1" minValue="1108.8" maxValue="270825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n v="2022"/>
    <x v="0"/>
    <x v="0"/>
    <x v="0"/>
    <x v="0"/>
    <x v="0"/>
    <n v="37"/>
    <s v="Female"/>
    <x v="0"/>
    <d v="2022-01-09T00:00:00"/>
    <x v="0"/>
    <s v="Cancelled"/>
    <n v="9"/>
    <n v="123"/>
    <n v="4867"/>
    <s v="Online"/>
    <n v="43803"/>
    <n v="32122.199999999997"/>
  </r>
  <r>
    <n v="2022"/>
    <x v="1"/>
    <x v="1"/>
    <x v="1"/>
    <x v="1"/>
    <x v="1"/>
    <n v="21"/>
    <s v="Male"/>
    <x v="0"/>
    <d v="2022-04-23T00:00:00"/>
    <x v="0"/>
    <s v="Pending"/>
    <n v="26"/>
    <n v="106"/>
    <n v="3928"/>
    <s v="Credit Card"/>
    <n v="102128"/>
    <n v="44779.199999999997"/>
  </r>
  <r>
    <n v="2022"/>
    <x v="2"/>
    <x v="2"/>
    <x v="2"/>
    <x v="2"/>
    <x v="2"/>
    <n v="22"/>
    <s v="Female"/>
    <x v="1"/>
    <d v="2022-06-09T00:00:00"/>
    <x v="1"/>
    <s v="Confirmed"/>
    <n v="11"/>
    <n v="123"/>
    <n v="26016"/>
    <s v="Online"/>
    <n v="286176"/>
    <n v="26341.200000000001"/>
  </r>
  <r>
    <n v="2022"/>
    <x v="3"/>
    <x v="0"/>
    <x v="0"/>
    <x v="0"/>
    <x v="3"/>
    <n v="56"/>
    <s v="Female"/>
    <x v="1"/>
    <d v="2022-10-03T00:00:00"/>
    <x v="2"/>
    <s v="Pending"/>
    <n v="19"/>
    <n v="86"/>
    <n v="4639"/>
    <s v="Online"/>
    <n v="88141"/>
    <n v="65409.899999999994"/>
  </r>
  <r>
    <n v="2022"/>
    <x v="4"/>
    <x v="1"/>
    <x v="1"/>
    <x v="1"/>
    <x v="4"/>
    <n v="56"/>
    <s v="Female"/>
    <x v="0"/>
    <d v="2022-12-19T00:00:00"/>
    <x v="3"/>
    <s v="Pending"/>
    <n v="47"/>
    <n v="121"/>
    <n v="73568"/>
    <s v="Cash"/>
    <n v="3457696"/>
    <n v="197433.60000000001"/>
  </r>
  <r>
    <n v="2023"/>
    <x v="5"/>
    <x v="2"/>
    <x v="2"/>
    <x v="2"/>
    <x v="5"/>
    <n v="52"/>
    <s v="Male"/>
    <x v="0"/>
    <d v="2023-09-15T00:00:00"/>
    <x v="0"/>
    <s v="Cancelled"/>
    <n v="22"/>
    <n v="123"/>
    <n v="7380"/>
    <s v="Online"/>
    <n v="162360"/>
    <n v="121770"/>
  </r>
  <r>
    <n v="2022"/>
    <x v="6"/>
    <x v="0"/>
    <x v="0"/>
    <x v="0"/>
    <x v="6"/>
    <n v="64"/>
    <s v="Female"/>
    <x v="0"/>
    <d v="2022-03-26T00:00:00"/>
    <x v="0"/>
    <s v="Pending"/>
    <n v="26"/>
    <n v="114"/>
    <n v="3976"/>
    <s v="Cash"/>
    <n v="103376"/>
    <n v="75146.399999999994"/>
  </r>
  <r>
    <n v="2022"/>
    <x v="7"/>
    <x v="1"/>
    <x v="1"/>
    <x v="1"/>
    <x v="7"/>
    <n v="22"/>
    <s v="Male"/>
    <x v="0"/>
    <d v="2022-08-09T00:00:00"/>
    <x v="1"/>
    <s v="Cancelled"/>
    <n v="38"/>
    <n v="105"/>
    <n v="35248"/>
    <s v="Credit Card"/>
    <n v="1339424"/>
    <n v="91204.2"/>
  </r>
  <r>
    <n v="2023"/>
    <x v="8"/>
    <x v="2"/>
    <x v="2"/>
    <x v="2"/>
    <x v="8"/>
    <n v="49"/>
    <s v="Female"/>
    <x v="0"/>
    <d v="2023-05-16T00:00:00"/>
    <x v="1"/>
    <s v="Cancelled"/>
    <n v="62"/>
    <n v="109"/>
    <n v="42008"/>
    <s v="Credit Card"/>
    <n v="2604496"/>
    <n v="97668.599999999991"/>
  </r>
  <r>
    <n v="2022"/>
    <x v="0"/>
    <x v="3"/>
    <x v="3"/>
    <x v="3"/>
    <x v="9"/>
    <n v="46"/>
    <s v="Female"/>
    <x v="1"/>
    <d v="2022-01-15T00:00:00"/>
    <x v="3"/>
    <s v="Pending"/>
    <n v="16"/>
    <n v="99"/>
    <n v="20104"/>
    <s v="Debit Card"/>
    <n v="321664"/>
    <n v="104549.4"/>
  </r>
  <r>
    <n v="2022"/>
    <x v="3"/>
    <x v="0"/>
    <x v="0"/>
    <x v="0"/>
    <x v="10"/>
    <n v="38"/>
    <s v="Female"/>
    <x v="0"/>
    <d v="2022-10-16T00:00:00"/>
    <x v="4"/>
    <s v="Pending"/>
    <n v="16"/>
    <n v="115"/>
    <n v="9707"/>
    <s v="Debit Card"/>
    <n v="155312"/>
    <n v="270825.3"/>
  </r>
  <r>
    <n v="2023"/>
    <x v="5"/>
    <x v="0"/>
    <x v="0"/>
    <x v="0"/>
    <x v="11"/>
    <n v="56"/>
    <s v="Female"/>
    <x v="0"/>
    <d v="2023-09-13T00:00:00"/>
    <x v="0"/>
    <s v="Pending"/>
    <n v="24"/>
    <n v="80"/>
    <n v="340"/>
    <s v="Online"/>
    <n v="8160"/>
    <n v="6018"/>
  </r>
  <r>
    <n v="2023"/>
    <x v="2"/>
    <x v="1"/>
    <x v="1"/>
    <x v="1"/>
    <x v="12"/>
    <n v="35"/>
    <s v="Male"/>
    <x v="1"/>
    <d v="2023-06-18T00:00:00"/>
    <x v="5"/>
    <s v="Cancelled"/>
    <n v="27"/>
    <n v="109"/>
    <n v="76704"/>
    <s v="Cash"/>
    <n v="2071008"/>
    <n v="86702.7"/>
  </r>
  <r>
    <n v="2022"/>
    <x v="9"/>
    <x v="4"/>
    <x v="4"/>
    <x v="4"/>
    <x v="13"/>
    <n v="56"/>
    <s v="Female"/>
    <x v="1"/>
    <d v="2022-11-27T00:00:00"/>
    <x v="3"/>
    <s v="Confirmed"/>
    <n v="34"/>
    <n v="96"/>
    <n v="17304"/>
    <s v="Online"/>
    <n v="588336"/>
    <n v="17952.899999999998"/>
  </r>
  <r>
    <n v="2023"/>
    <x v="3"/>
    <x v="0"/>
    <x v="0"/>
    <x v="0"/>
    <x v="14"/>
    <n v="56"/>
    <s v="Female"/>
    <x v="0"/>
    <d v="2023-10-03T00:00:00"/>
    <x v="3"/>
    <s v="Cancelled"/>
    <n v="14"/>
    <n v="105"/>
    <n v="155856"/>
    <s v="Online"/>
    <n v="2181984"/>
    <n v="64290.6"/>
  </r>
  <r>
    <n v="2022"/>
    <x v="3"/>
    <x v="0"/>
    <x v="0"/>
    <x v="0"/>
    <x v="15"/>
    <n v="55"/>
    <s v="Female"/>
    <x v="0"/>
    <d v="2022-10-26T00:00:00"/>
    <x v="4"/>
    <s v="Pending"/>
    <n v="21"/>
    <n v="92"/>
    <n v="1945"/>
    <s v="Cash"/>
    <n v="40845"/>
    <n v="19255.5"/>
  </r>
  <r>
    <n v="2023"/>
    <x v="10"/>
    <x v="4"/>
    <x v="4"/>
    <x v="4"/>
    <x v="16"/>
    <n v="19"/>
    <s v="Female"/>
    <x v="0"/>
    <d v="2023-07-31T00:00:00"/>
    <x v="1"/>
    <s v="Confirmed"/>
    <n v="16"/>
    <n v="110"/>
    <n v="75528"/>
    <s v="Debit Card"/>
    <n v="1208448"/>
    <n v="107627.4"/>
  </r>
  <r>
    <n v="2022"/>
    <x v="5"/>
    <x v="3"/>
    <x v="3"/>
    <x v="3"/>
    <x v="17"/>
    <n v="58"/>
    <s v="Female"/>
    <x v="0"/>
    <d v="2022-09-07T00:00:00"/>
    <x v="4"/>
    <s v="Pending"/>
    <n v="16"/>
    <n v="119"/>
    <n v="1683"/>
    <s v="Debit Card"/>
    <n v="26928"/>
    <n v="19691.099999999999"/>
  </r>
  <r>
    <n v="2022"/>
    <x v="1"/>
    <x v="4"/>
    <x v="4"/>
    <x v="4"/>
    <x v="18"/>
    <n v="42"/>
    <s v="Male"/>
    <x v="0"/>
    <d v="2022-04-14T00:00:00"/>
    <x v="6"/>
    <s v="Cancelled"/>
    <n v="1"/>
    <n v="83"/>
    <n v="59136"/>
    <s v="Cash"/>
    <n v="59136"/>
    <n v="1108.8"/>
  </r>
  <r>
    <n v="2023"/>
    <x v="4"/>
    <x v="2"/>
    <x v="2"/>
    <x v="2"/>
    <x v="19"/>
    <n v="56"/>
    <s v="Female"/>
    <x v="0"/>
    <d v="2023-12-02T00:00:00"/>
    <x v="2"/>
    <s v="Confirmed"/>
    <n v="38"/>
    <n v="113"/>
    <n v="5517"/>
    <s v="Debit Card"/>
    <n v="209646"/>
    <n v="122477.4"/>
  </r>
  <r>
    <n v="2023"/>
    <x v="0"/>
    <x v="0"/>
    <x v="0"/>
    <x v="0"/>
    <x v="20"/>
    <n v="56"/>
    <s v="Male"/>
    <x v="0"/>
    <d v="2023-01-25T00:00:00"/>
    <x v="0"/>
    <s v="Confirmed"/>
    <n v="8"/>
    <n v="98"/>
    <n v="3137"/>
    <s v="Online"/>
    <n v="25096"/>
    <n v="82816.800000000003"/>
  </r>
  <r>
    <n v="2023"/>
    <x v="10"/>
    <x v="4"/>
    <x v="4"/>
    <x v="4"/>
    <x v="21"/>
    <n v="71"/>
    <s v="Male"/>
    <x v="0"/>
    <d v="2023-07-07T00:00:00"/>
    <x v="3"/>
    <s v="Confirmed"/>
    <n v="3"/>
    <n v="89"/>
    <n v="93488"/>
    <s v="Online"/>
    <n v="280464"/>
    <n v="16930.2"/>
  </r>
  <r>
    <n v="2022"/>
    <x v="0"/>
    <x v="4"/>
    <x v="4"/>
    <x v="4"/>
    <x v="22"/>
    <n v="21"/>
    <s v="Female"/>
    <x v="0"/>
    <d v="2022-01-25T00:00:00"/>
    <x v="3"/>
    <s v="Cancelled"/>
    <n v="38"/>
    <n v="92"/>
    <n v="6456"/>
    <s v="Cash"/>
    <n v="245328"/>
    <n v="216755.1"/>
  </r>
  <r>
    <n v="2023"/>
    <x v="9"/>
    <x v="2"/>
    <x v="2"/>
    <x v="2"/>
    <x v="23"/>
    <n v="31"/>
    <s v="Male"/>
    <x v="0"/>
    <d v="2023-11-19T00:00:00"/>
    <x v="2"/>
    <s v="Cancelled"/>
    <n v="44"/>
    <n v="121"/>
    <n v="8790"/>
    <s v="Credit Card"/>
    <n v="386760"/>
    <n v="152946"/>
  </r>
  <r>
    <n v="2022"/>
    <x v="9"/>
    <x v="0"/>
    <x v="0"/>
    <x v="0"/>
    <x v="24"/>
    <n v="29"/>
    <s v="Female"/>
    <x v="0"/>
    <d v="2022-11-20T00:00:00"/>
    <x v="2"/>
    <s v="Confirmed"/>
    <n v="7"/>
    <n v="111"/>
    <n v="9488"/>
    <s v="Online"/>
    <n v="66416"/>
    <n v="19924.8"/>
  </r>
  <r>
    <n v="2023"/>
    <x v="8"/>
    <x v="5"/>
    <x v="4"/>
    <x v="4"/>
    <x v="25"/>
    <n v="69"/>
    <s v="Female"/>
    <x v="0"/>
    <d v="2023-05-22T00:00:00"/>
    <x v="4"/>
    <s v="Cancelled"/>
    <n v="21"/>
    <n v="108"/>
    <n v="5691"/>
    <s v="Online"/>
    <n v="119511"/>
    <n v="88779.599999999991"/>
  </r>
  <r>
    <n v="2023"/>
    <x v="5"/>
    <x v="0"/>
    <x v="0"/>
    <x v="0"/>
    <x v="26"/>
    <n v="58"/>
    <s v="Female"/>
    <x v="0"/>
    <d v="2023-09-21T00:00:00"/>
    <x v="0"/>
    <s v="Pending"/>
    <n v="16"/>
    <n v="99"/>
    <n v="9224"/>
    <s v="Online"/>
    <n v="147584"/>
    <n v="132825.60000000001"/>
  </r>
  <r>
    <n v="2023"/>
    <x v="8"/>
    <x v="3"/>
    <x v="0"/>
    <x v="0"/>
    <x v="27"/>
    <n v="56"/>
    <s v="Female"/>
    <x v="1"/>
    <d v="2023-05-28T00:00:00"/>
    <x v="1"/>
    <s v="Confirmed"/>
    <n v="2"/>
    <n v="80"/>
    <n v="51720"/>
    <s v="Online"/>
    <n v="103440"/>
    <n v="9697.5"/>
  </r>
  <r>
    <n v="2022"/>
    <x v="6"/>
    <x v="6"/>
    <x v="5"/>
    <x v="5"/>
    <x v="0"/>
    <n v="57"/>
    <s v="Female"/>
    <x v="1"/>
    <d v="2022-03-02T00:00:00"/>
    <x v="2"/>
    <s v="Pending"/>
    <n v="14"/>
    <n v="109"/>
    <n v="4524"/>
    <s v="Online"/>
    <n v="63336"/>
    <n v="44787.6"/>
  </r>
  <r>
    <n v="2022"/>
    <x v="6"/>
    <x v="6"/>
    <x v="5"/>
    <x v="5"/>
    <x v="1"/>
    <n v="57"/>
    <s v="Male"/>
    <x v="1"/>
    <d v="2022-03-04T00:00:00"/>
    <x v="4"/>
    <s v="Confirmed"/>
    <n v="39"/>
    <n v="82"/>
    <n v="2691"/>
    <s v="Debit Card"/>
    <n v="104949"/>
    <n v="78308.099999999991"/>
  </r>
  <r>
    <n v="2023"/>
    <x v="5"/>
    <x v="1"/>
    <x v="0"/>
    <x v="0"/>
    <x v="2"/>
    <n v="60"/>
    <s v="Male"/>
    <x v="0"/>
    <d v="2023-09-02T00:00:00"/>
    <x v="3"/>
    <s v="Pending"/>
    <n v="43"/>
    <n v="104"/>
    <n v="93888"/>
    <s v="Debit Card"/>
    <n v="4037184"/>
    <n v="96235.199999999997"/>
  </r>
  <r>
    <n v="2023"/>
    <x v="9"/>
    <x v="2"/>
    <x v="2"/>
    <x v="2"/>
    <x v="3"/>
    <n v="28"/>
    <s v="Female"/>
    <x v="0"/>
    <d v="2023-11-13T00:00:00"/>
    <x v="2"/>
    <s v="Confirmed"/>
    <n v="27"/>
    <n v="118"/>
    <n v="6681"/>
    <s v="Cash"/>
    <n v="180387"/>
    <n v="132283.79999999999"/>
  </r>
  <r>
    <n v="2023"/>
    <x v="4"/>
    <x v="2"/>
    <x v="2"/>
    <x v="2"/>
    <x v="4"/>
    <n v="38"/>
    <s v="Female"/>
    <x v="0"/>
    <d v="2023-12-31T00:00:00"/>
    <x v="1"/>
    <s v="Confirmed"/>
    <n v="16"/>
    <n v="104"/>
    <n v="33680"/>
    <s v="Credit Card"/>
    <n v="538880"/>
    <n v="71991"/>
  </r>
  <r>
    <n v="2022"/>
    <x v="7"/>
    <x v="7"/>
    <x v="0"/>
    <x v="0"/>
    <x v="5"/>
    <n v="56"/>
    <s v="Male"/>
    <x v="0"/>
    <d v="2022-08-13T00:00:00"/>
    <x v="4"/>
    <s v="Pending"/>
    <n v="20"/>
    <n v="93"/>
    <n v="2344"/>
    <s v="Online"/>
    <n v="46880"/>
    <n v="44301.599999999999"/>
  </r>
  <r>
    <n v="2022"/>
    <x v="0"/>
    <x v="2"/>
    <x v="2"/>
    <x v="2"/>
    <x v="6"/>
    <n v="68"/>
    <s v="Male"/>
    <x v="0"/>
    <d v="2022-01-23T00:00:00"/>
    <x v="6"/>
    <s v="Confirmed"/>
    <n v="76"/>
    <n v="110"/>
    <n v="161408"/>
    <s v="Online"/>
    <n v="12267008"/>
    <n v="43882.799999999996"/>
  </r>
  <r>
    <n v="2023"/>
    <x v="6"/>
    <x v="2"/>
    <x v="2"/>
    <x v="2"/>
    <x v="7"/>
    <n v="50"/>
    <s v="Male"/>
    <x v="0"/>
    <d v="2023-03-04T00:00:00"/>
    <x v="3"/>
    <s v="Confirmed"/>
    <n v="20"/>
    <n v="81"/>
    <n v="114744"/>
    <s v="Online"/>
    <n v="2294880"/>
    <n v="58806.299999999996"/>
  </r>
  <r>
    <n v="2022"/>
    <x v="4"/>
    <x v="2"/>
    <x v="2"/>
    <x v="2"/>
    <x v="8"/>
    <n v="46"/>
    <s v="Female"/>
    <x v="0"/>
    <d v="2022-12-11T00:00:00"/>
    <x v="4"/>
    <s v="Confirmed"/>
    <n v="32"/>
    <n v="101"/>
    <n v="7104"/>
    <s v="Credit Card"/>
    <n v="227328"/>
    <n v="166233.60000000001"/>
  </r>
  <r>
    <n v="2022"/>
    <x v="2"/>
    <x v="5"/>
    <x v="4"/>
    <x v="4"/>
    <x v="9"/>
    <n v="47"/>
    <s v="Male"/>
    <x v="0"/>
    <d v="2022-06-15T00:00:00"/>
    <x v="0"/>
    <s v="Cancelled"/>
    <n v="15"/>
    <n v="120"/>
    <n v="5655"/>
    <s v="Debit Card"/>
    <n v="84825"/>
    <n v="62770.5"/>
  </r>
  <r>
    <n v="2023"/>
    <x v="7"/>
    <x v="6"/>
    <x v="0"/>
    <x v="0"/>
    <x v="10"/>
    <n v="26"/>
    <s v="Male"/>
    <x v="0"/>
    <d v="2023-08-10T00:00:00"/>
    <x v="0"/>
    <s v="Cancelled"/>
    <n v="7"/>
    <n v="119"/>
    <n v="7802"/>
    <s v="Online"/>
    <n v="54614"/>
    <n v="16384.2"/>
  </r>
  <r>
    <n v="2023"/>
    <x v="1"/>
    <x v="5"/>
    <x v="4"/>
    <x v="4"/>
    <x v="11"/>
    <n v="55"/>
    <s v="Male"/>
    <x v="0"/>
    <d v="2023-04-25T00:00:00"/>
    <x v="6"/>
    <s v="Cancelled"/>
    <n v="7"/>
    <n v="84"/>
    <n v="19840"/>
    <s v="Debit Card"/>
    <n v="138880"/>
    <n v="2976"/>
  </r>
  <r>
    <n v="2023"/>
    <x v="2"/>
    <x v="5"/>
    <x v="4"/>
    <x v="4"/>
    <x v="12"/>
    <n v="57"/>
    <s v="Female"/>
    <x v="0"/>
    <d v="2023-06-11T00:00:00"/>
    <x v="5"/>
    <s v="Confirmed"/>
    <n v="40"/>
    <n v="97"/>
    <n v="50560"/>
    <s v="Debit Card"/>
    <n v="2022400"/>
    <n v="77517"/>
  </r>
  <r>
    <n v="2022"/>
    <x v="2"/>
    <x v="2"/>
    <x v="2"/>
    <x v="2"/>
    <x v="13"/>
    <n v="69"/>
    <s v="Female"/>
    <x v="0"/>
    <d v="2022-06-03T00:00:00"/>
    <x v="4"/>
    <s v="Confirmed"/>
    <n v="37"/>
    <n v="107"/>
    <n v="4351"/>
    <s v="Online"/>
    <n v="160987"/>
    <n v="118782.29999999999"/>
  </r>
  <r>
    <n v="2022"/>
    <x v="7"/>
    <x v="5"/>
    <x v="4"/>
    <x v="4"/>
    <x v="14"/>
    <n v="23"/>
    <s v="Male"/>
    <x v="0"/>
    <d v="2022-08-17T00:00:00"/>
    <x v="3"/>
    <s v="Confirmed"/>
    <n v="10"/>
    <n v="97"/>
    <n v="118152"/>
    <s v="Debit Card"/>
    <n v="1181520"/>
    <n v="146213.1"/>
  </r>
  <r>
    <n v="2022"/>
    <x v="7"/>
    <x v="7"/>
    <x v="3"/>
    <x v="3"/>
    <x v="15"/>
    <n v="54"/>
    <s v="Female"/>
    <x v="0"/>
    <d v="2022-08-03T00:00:00"/>
    <x v="5"/>
    <s v="Confirmed"/>
    <n v="28"/>
    <n v="123"/>
    <n v="52768"/>
    <s v="Debit Card"/>
    <n v="1477504"/>
    <n v="117463.2"/>
  </r>
  <r>
    <n v="2023"/>
    <x v="10"/>
    <x v="2"/>
    <x v="0"/>
    <x v="0"/>
    <x v="16"/>
    <n v="62"/>
    <s v="Female"/>
    <x v="0"/>
    <d v="2023-07-18T00:00:00"/>
    <x v="1"/>
    <s v="Confirmed"/>
    <n v="24"/>
    <n v="104"/>
    <n v="26616"/>
    <s v="Online"/>
    <n v="638784"/>
    <n v="58887.9"/>
  </r>
  <r>
    <n v="2023"/>
    <x v="2"/>
    <x v="7"/>
    <x v="3"/>
    <x v="3"/>
    <x v="17"/>
    <n v="68"/>
    <s v="Male"/>
    <x v="0"/>
    <d v="2023-06-22T00:00:00"/>
    <x v="5"/>
    <s v="Cancelled"/>
    <n v="28"/>
    <n v="99"/>
    <n v="23616"/>
    <s v="Cash"/>
    <n v="661248"/>
    <n v="31350.3"/>
  </r>
  <r>
    <n v="2022"/>
    <x v="2"/>
    <x v="5"/>
    <x v="4"/>
    <x v="4"/>
    <x v="18"/>
    <n v="38"/>
    <s v="Male"/>
    <x v="0"/>
    <d v="2022-06-27T00:00:00"/>
    <x v="2"/>
    <s v="Confirmed"/>
    <n v="30"/>
    <n v="84"/>
    <n v="7804"/>
    <s v="Online"/>
    <n v="234120"/>
    <n v="173248.8"/>
  </r>
  <r>
    <n v="2022"/>
    <x v="6"/>
    <x v="2"/>
    <x v="0"/>
    <x v="0"/>
    <x v="19"/>
    <n v="40"/>
    <s v="Male"/>
    <x v="0"/>
    <d v="2022-03-09T00:00:00"/>
    <x v="0"/>
    <s v="Cancelled"/>
    <n v="10"/>
    <n v="118"/>
    <n v="9387"/>
    <s v="Debit Card"/>
    <n v="93870"/>
    <n v="67586.399999999994"/>
  </r>
  <r>
    <n v="2022"/>
    <x v="5"/>
    <x v="5"/>
    <x v="4"/>
    <x v="4"/>
    <x v="20"/>
    <n v="20"/>
    <s v="Female"/>
    <x v="0"/>
    <d v="2022-09-06T00:00:00"/>
    <x v="2"/>
    <s v="Pending"/>
    <n v="19"/>
    <n v="83"/>
    <n v="6073"/>
    <s v="Online"/>
    <n v="115387"/>
    <n v="83807.399999999994"/>
  </r>
  <r>
    <n v="2023"/>
    <x v="3"/>
    <x v="5"/>
    <x v="4"/>
    <x v="4"/>
    <x v="21"/>
    <n v="72"/>
    <s v="Female"/>
    <x v="1"/>
    <d v="2023-10-07T00:00:00"/>
    <x v="4"/>
    <s v="Cancelled"/>
    <n v="32"/>
    <n v="83"/>
    <n v="1924"/>
    <s v="Credit Card"/>
    <n v="61568"/>
    <n v="45021.599999999999"/>
  </r>
  <r>
    <n v="2023"/>
    <x v="7"/>
    <x v="2"/>
    <x v="2"/>
    <x v="2"/>
    <x v="22"/>
    <n v="55"/>
    <s v="Male"/>
    <x v="1"/>
    <d v="2023-08-24T00:00:00"/>
    <x v="0"/>
    <s v="Pending"/>
    <n v="34"/>
    <n v="114"/>
    <n v="2871"/>
    <s v="Debit Card"/>
    <n v="97614"/>
    <n v="71487.899999999994"/>
  </r>
  <r>
    <n v="2023"/>
    <x v="11"/>
    <x v="5"/>
    <x v="4"/>
    <x v="4"/>
    <x v="23"/>
    <n v="60"/>
    <s v="Female"/>
    <x v="1"/>
    <d v="2023-02-06T00:00:00"/>
    <x v="3"/>
    <s v="Cancelled"/>
    <n v="26"/>
    <n v="112"/>
    <n v="119736"/>
    <s v="Online"/>
    <n v="3113136"/>
    <n v="94292.099999999991"/>
  </r>
  <r>
    <n v="2022"/>
    <x v="2"/>
    <x v="7"/>
    <x v="3"/>
    <x v="3"/>
    <x v="24"/>
    <n v="52"/>
    <s v="Male"/>
    <x v="1"/>
    <d v="2022-06-26T00:00:00"/>
    <x v="2"/>
    <s v="Cancelled"/>
    <n v="15"/>
    <n v="106"/>
    <n v="8278"/>
    <s v="Online"/>
    <n v="124170"/>
    <n v="89402.4"/>
  </r>
  <r>
    <n v="2022"/>
    <x v="9"/>
    <x v="1"/>
    <x v="1"/>
    <x v="1"/>
    <x v="25"/>
    <n v="20"/>
    <s v="Male"/>
    <x v="0"/>
    <d v="2022-11-01T00:00:00"/>
    <x v="2"/>
    <s v="Pending"/>
    <n v="19"/>
    <n v="125"/>
    <n v="7364"/>
    <s v="Online"/>
    <n v="139916"/>
    <n v="46393.2"/>
  </r>
  <r>
    <n v="2022"/>
    <x v="10"/>
    <x v="5"/>
    <x v="4"/>
    <x v="4"/>
    <x v="26"/>
    <n v="27"/>
    <s v="Male"/>
    <x v="0"/>
    <d v="2022-07-04T00:00:00"/>
    <x v="3"/>
    <s v="Cancelled"/>
    <n v="6"/>
    <n v="94"/>
    <n v="122880"/>
    <s v="Credit Card"/>
    <n v="737280"/>
    <n v="19968"/>
  </r>
  <r>
    <n v="2022"/>
    <x v="4"/>
    <x v="0"/>
    <x v="0"/>
    <x v="0"/>
    <x v="27"/>
    <n v="35"/>
    <s v="Male"/>
    <x v="0"/>
    <d v="2022-12-12T00:00:00"/>
    <x v="3"/>
    <s v="Pending"/>
    <n v="16"/>
    <n v="119"/>
    <n v="116352"/>
    <s v="Cash"/>
    <n v="1861632"/>
    <n v="91627.199999999997"/>
  </r>
  <r>
    <n v="2023"/>
    <x v="0"/>
    <x v="5"/>
    <x v="4"/>
    <x v="4"/>
    <x v="0"/>
    <n v="44"/>
    <s v="Male"/>
    <x v="1"/>
    <d v="2023-01-22T00:00:00"/>
    <x v="5"/>
    <s v="Confirmed"/>
    <n v="32"/>
    <n v="80"/>
    <n v="72768"/>
    <s v="Cash"/>
    <n v="2328576"/>
    <n v="166089.60000000001"/>
  </r>
  <r>
    <n v="2022"/>
    <x v="4"/>
    <x v="5"/>
    <x v="0"/>
    <x v="0"/>
    <x v="1"/>
    <n v="63"/>
    <s v="Male"/>
    <x v="1"/>
    <d v="2022-12-31T00:00:00"/>
    <x v="3"/>
    <s v="Confirmed"/>
    <n v="38"/>
    <n v="115"/>
    <n v="132480"/>
    <s v="Online"/>
    <n v="5034240"/>
    <n v="157320"/>
  </r>
  <r>
    <n v="2022"/>
    <x v="8"/>
    <x v="4"/>
    <x v="0"/>
    <x v="0"/>
    <x v="2"/>
    <n v="37"/>
    <s v="Male"/>
    <x v="0"/>
    <d v="2022-05-20T00:00:00"/>
    <x v="6"/>
    <s v="Pending"/>
    <n v="38"/>
    <n v="115"/>
    <n v="241984"/>
    <s v="Online"/>
    <n v="9195392"/>
    <n v="215517"/>
  </r>
  <r>
    <n v="2023"/>
    <x v="8"/>
    <x v="2"/>
    <x v="2"/>
    <x v="2"/>
    <x v="3"/>
    <n v="23"/>
    <s v="Male"/>
    <x v="1"/>
    <d v="2023-05-12T00:00:00"/>
    <x v="1"/>
    <s v="Confirmed"/>
    <n v="71"/>
    <n v="77"/>
    <n v="29216"/>
    <s v="Online"/>
    <n v="2074336"/>
    <n v="4382.3999999999996"/>
  </r>
  <r>
    <n v="2022"/>
    <x v="5"/>
    <x v="3"/>
    <x v="3"/>
    <x v="3"/>
    <x v="4"/>
    <n v="27"/>
    <s v="Male"/>
    <x v="1"/>
    <d v="2022-09-20T00:00:00"/>
    <x v="5"/>
    <s v="Confirmed"/>
    <n v="13"/>
    <n v="107"/>
    <n v="119616"/>
    <s v="Cash"/>
    <n v="1555008"/>
    <n v="11587.8"/>
  </r>
  <r>
    <n v="2022"/>
    <x v="2"/>
    <x v="2"/>
    <x v="2"/>
    <x v="2"/>
    <x v="5"/>
    <n v="69"/>
    <s v="Male"/>
    <x v="1"/>
    <d v="2022-06-06T00:00:00"/>
    <x v="6"/>
    <s v="Pending"/>
    <n v="28"/>
    <n v="79"/>
    <n v="31040"/>
    <s v="Online"/>
    <n v="869120"/>
    <n v="6693"/>
  </r>
  <r>
    <n v="2022"/>
    <x v="1"/>
    <x v="5"/>
    <x v="4"/>
    <x v="4"/>
    <x v="6"/>
    <n v="29"/>
    <s v="Male"/>
    <x v="1"/>
    <d v="2022-04-23T00:00:00"/>
    <x v="1"/>
    <s v="Confirmed"/>
    <n v="24"/>
    <n v="116"/>
    <n v="29832"/>
    <s v="Online"/>
    <n v="715968"/>
    <n v="64884.6"/>
  </r>
  <r>
    <n v="2023"/>
    <x v="7"/>
    <x v="2"/>
    <x v="2"/>
    <x v="2"/>
    <x v="7"/>
    <n v="43"/>
    <s v="Female"/>
    <x v="0"/>
    <d v="2023-08-07T00:00:00"/>
    <x v="4"/>
    <s v="Confirmed"/>
    <n v="27"/>
    <n v="93"/>
    <n v="7325"/>
    <s v="Cash"/>
    <n v="197775"/>
    <n v="145035"/>
  </r>
  <r>
    <n v="2022"/>
    <x v="1"/>
    <x v="5"/>
    <x v="0"/>
    <x v="0"/>
    <x v="8"/>
    <n v="40"/>
    <s v="Male"/>
    <x v="0"/>
    <d v="2022-04-16T00:00:00"/>
    <x v="3"/>
    <s v="Cancelled"/>
    <n v="29"/>
    <n v="97"/>
    <n v="116568"/>
    <s v="Online"/>
    <n v="3380472"/>
    <n v="104911.2"/>
  </r>
  <r>
    <n v="2023"/>
    <x v="7"/>
    <x v="6"/>
    <x v="0"/>
    <x v="0"/>
    <x v="9"/>
    <n v="33"/>
    <s v="Male"/>
    <x v="1"/>
    <d v="2023-08-12T00:00:00"/>
    <x v="3"/>
    <s v="Cancelled"/>
    <n v="22"/>
    <n v="80"/>
    <n v="53736"/>
    <s v="Cash"/>
    <n v="1182192"/>
    <n v="36943.5"/>
  </r>
  <r>
    <n v="2023"/>
    <x v="8"/>
    <x v="0"/>
    <x v="0"/>
    <x v="0"/>
    <x v="10"/>
    <n v="31"/>
    <s v="Male"/>
    <x v="0"/>
    <d v="2023-05-24T00:00:00"/>
    <x v="5"/>
    <s v="Confirmed"/>
    <n v="10"/>
    <n v="117"/>
    <n v="219168"/>
    <s v="Debit Card"/>
    <n v="2191680"/>
    <n v="17122.5"/>
  </r>
  <r>
    <n v="2022"/>
    <x v="8"/>
    <x v="5"/>
    <x v="4"/>
    <x v="4"/>
    <x v="11"/>
    <n v="61"/>
    <s v="Male"/>
    <x v="1"/>
    <d v="2022-05-31T00:00:00"/>
    <x v="4"/>
    <s v="Pending"/>
    <n v="28"/>
    <n v="86"/>
    <n v="2690"/>
    <s v="Debit Card"/>
    <n v="75320"/>
    <n v="54876"/>
  </r>
  <r>
    <n v="2022"/>
    <x v="9"/>
    <x v="5"/>
    <x v="4"/>
    <x v="4"/>
    <x v="12"/>
    <n v="32"/>
    <s v="Male"/>
    <x v="0"/>
    <d v="2022-11-04T00:00:00"/>
    <x v="4"/>
    <s v="Pending"/>
    <n v="1"/>
    <n v="96"/>
    <n v="2458"/>
    <s v="Online"/>
    <n v="2458"/>
    <n v="1474.8"/>
  </r>
  <r>
    <n v="2023"/>
    <x v="6"/>
    <x v="7"/>
    <x v="0"/>
    <x v="0"/>
    <x v="13"/>
    <n v="72"/>
    <s v="Female"/>
    <x v="0"/>
    <d v="2023-03-14T00:00:00"/>
    <x v="2"/>
    <s v="Pending"/>
    <n v="4"/>
    <n v="89"/>
    <n v="2398"/>
    <s v="Credit Card"/>
    <n v="9592"/>
    <n v="5755.2"/>
  </r>
  <r>
    <n v="2022"/>
    <x v="2"/>
    <x v="2"/>
    <x v="2"/>
    <x v="6"/>
    <x v="14"/>
    <n v="21"/>
    <s v="Female"/>
    <x v="1"/>
    <d v="2022-06-09T00:00:00"/>
    <x v="1"/>
    <s v="Confirmed"/>
    <n v="20"/>
    <n v="123"/>
    <n v="26016"/>
    <s v="Online"/>
    <n v="520320"/>
    <n v="26341.200000000001"/>
  </r>
  <r>
    <n v="2023"/>
    <x v="5"/>
    <x v="2"/>
    <x v="2"/>
    <x v="6"/>
    <x v="15"/>
    <n v="22"/>
    <s v="Male"/>
    <x v="0"/>
    <d v="2023-09-15T00:00:00"/>
    <x v="0"/>
    <s v="Cancelled"/>
    <n v="22"/>
    <n v="123"/>
    <n v="7380"/>
    <s v="Online"/>
    <n v="162360"/>
    <n v="121770"/>
  </r>
  <r>
    <n v="2023"/>
    <x v="8"/>
    <x v="2"/>
    <x v="2"/>
    <x v="6"/>
    <x v="16"/>
    <n v="56"/>
    <s v="Female"/>
    <x v="0"/>
    <d v="2023-05-16T00:00:00"/>
    <x v="1"/>
    <s v="Cancelled"/>
    <n v="25"/>
    <n v="109"/>
    <n v="42008"/>
    <s v="Credit Card"/>
    <n v="1050200"/>
    <n v="97668.599999999991"/>
  </r>
  <r>
    <n v="2023"/>
    <x v="4"/>
    <x v="2"/>
    <x v="2"/>
    <x v="6"/>
    <x v="17"/>
    <n v="56"/>
    <s v="Female"/>
    <x v="0"/>
    <d v="2023-12-02T00:00:00"/>
    <x v="2"/>
    <s v="Confirmed"/>
    <n v="38"/>
    <n v="113"/>
    <n v="5517"/>
    <s v="Debit Card"/>
    <n v="209646"/>
    <n v="122477.4"/>
  </r>
  <r>
    <n v="2023"/>
    <x v="9"/>
    <x v="2"/>
    <x v="2"/>
    <x v="6"/>
    <x v="18"/>
    <n v="52"/>
    <s v="Male"/>
    <x v="0"/>
    <d v="2023-11-19T00:00:00"/>
    <x v="2"/>
    <s v="Cancelled"/>
    <n v="24"/>
    <n v="121"/>
    <n v="8790"/>
    <s v="Credit Card"/>
    <n v="210960"/>
    <n v="152946"/>
  </r>
  <r>
    <n v="2023"/>
    <x v="9"/>
    <x v="2"/>
    <x v="2"/>
    <x v="6"/>
    <x v="19"/>
    <n v="64"/>
    <s v="Female"/>
    <x v="0"/>
    <d v="2023-11-13T00:00:00"/>
    <x v="2"/>
    <s v="Confirmed"/>
    <n v="27"/>
    <n v="118"/>
    <n v="6681"/>
    <s v="Cash"/>
    <n v="180387"/>
    <n v="132283.79999999999"/>
  </r>
  <r>
    <n v="2023"/>
    <x v="4"/>
    <x v="2"/>
    <x v="2"/>
    <x v="6"/>
    <x v="20"/>
    <n v="22"/>
    <s v="Female"/>
    <x v="0"/>
    <d v="2023-12-31T00:00:00"/>
    <x v="1"/>
    <s v="Confirmed"/>
    <n v="16"/>
    <n v="104"/>
    <n v="33680"/>
    <s v="Credit Card"/>
    <n v="538880"/>
    <n v="71991"/>
  </r>
  <r>
    <n v="2022"/>
    <x v="0"/>
    <x v="2"/>
    <x v="2"/>
    <x v="6"/>
    <x v="21"/>
    <n v="49"/>
    <s v="Male"/>
    <x v="0"/>
    <d v="2022-01-23T00:00:00"/>
    <x v="6"/>
    <s v="Confirmed"/>
    <n v="37"/>
    <n v="110"/>
    <n v="161408"/>
    <s v="Online"/>
    <n v="5972096"/>
    <n v="43882.799999999996"/>
  </r>
  <r>
    <n v="2023"/>
    <x v="6"/>
    <x v="2"/>
    <x v="2"/>
    <x v="6"/>
    <x v="22"/>
    <n v="46"/>
    <s v="Male"/>
    <x v="0"/>
    <d v="2023-03-04T00:00:00"/>
    <x v="3"/>
    <s v="Confirmed"/>
    <n v="22"/>
    <n v="81"/>
    <n v="114744"/>
    <s v="Online"/>
    <n v="2524368"/>
    <n v="58806.299999999996"/>
  </r>
  <r>
    <n v="2023"/>
    <x v="5"/>
    <x v="1"/>
    <x v="0"/>
    <x v="7"/>
    <x v="23"/>
    <n v="60"/>
    <s v="Male"/>
    <x v="0"/>
    <d v="2023-09-02T00:00:00"/>
    <x v="3"/>
    <s v="Pending"/>
    <n v="43"/>
    <n v="104"/>
    <n v="93888"/>
    <s v="Debit Card"/>
    <n v="4037184"/>
    <n v="96235.199999999997"/>
  </r>
  <r>
    <n v="2022"/>
    <x v="7"/>
    <x v="7"/>
    <x v="0"/>
    <x v="7"/>
    <x v="24"/>
    <n v="56"/>
    <s v="Male"/>
    <x v="1"/>
    <d v="2022-08-13T00:00:00"/>
    <x v="4"/>
    <s v="Pending"/>
    <n v="20"/>
    <n v="93"/>
    <n v="2344"/>
    <s v="Online"/>
    <n v="46880"/>
    <n v="44301.599999999999"/>
  </r>
  <r>
    <n v="2023"/>
    <x v="7"/>
    <x v="6"/>
    <x v="0"/>
    <x v="7"/>
    <x v="25"/>
    <n v="26"/>
    <s v="Male"/>
    <x v="1"/>
    <d v="2023-08-10T00:00:00"/>
    <x v="0"/>
    <s v="Cancelled"/>
    <n v="28"/>
    <n v="119"/>
    <n v="7802"/>
    <s v="Online"/>
    <n v="218456"/>
    <n v="16384.2"/>
  </r>
  <r>
    <n v="2023"/>
    <x v="10"/>
    <x v="2"/>
    <x v="0"/>
    <x v="7"/>
    <x v="26"/>
    <n v="62"/>
    <s v="Female"/>
    <x v="0"/>
    <d v="2023-07-18T00:00:00"/>
    <x v="1"/>
    <s v="Confirmed"/>
    <n v="24"/>
    <n v="104"/>
    <n v="26616"/>
    <s v="Online"/>
    <n v="638784"/>
    <n v="58887.9"/>
  </r>
  <r>
    <n v="2022"/>
    <x v="6"/>
    <x v="2"/>
    <x v="0"/>
    <x v="7"/>
    <x v="27"/>
    <n v="40"/>
    <s v="Male"/>
    <x v="1"/>
    <d v="2022-03-09T00:00:00"/>
    <x v="0"/>
    <s v="Cancelled"/>
    <n v="32"/>
    <n v="118"/>
    <n v="9387"/>
    <s v="Debit Card"/>
    <n v="300384"/>
    <n v="67586.399999999994"/>
  </r>
  <r>
    <n v="2022"/>
    <x v="4"/>
    <x v="0"/>
    <x v="0"/>
    <x v="7"/>
    <x v="0"/>
    <n v="35"/>
    <s v="Male"/>
    <x v="0"/>
    <d v="2022-12-12T00:00:00"/>
    <x v="3"/>
    <s v="Pending"/>
    <n v="26"/>
    <n v="119"/>
    <n v="116352"/>
    <s v="Cash"/>
    <n v="3025152"/>
    <n v="91627.199999999997"/>
  </r>
  <r>
    <n v="2022"/>
    <x v="4"/>
    <x v="5"/>
    <x v="0"/>
    <x v="7"/>
    <x v="1"/>
    <n v="63"/>
    <s v="Male"/>
    <x v="0"/>
    <d v="2022-12-31T00:00:00"/>
    <x v="3"/>
    <s v="Confirmed"/>
    <n v="38"/>
    <n v="115"/>
    <n v="132480"/>
    <s v="Online"/>
    <n v="5034240"/>
    <n v="157320"/>
  </r>
  <r>
    <n v="2022"/>
    <x v="8"/>
    <x v="4"/>
    <x v="0"/>
    <x v="7"/>
    <x v="2"/>
    <n v="37"/>
    <s v="Male"/>
    <x v="0"/>
    <d v="2022-05-20T00:00:00"/>
    <x v="6"/>
    <s v="Pending"/>
    <n v="38"/>
    <n v="115"/>
    <n v="241984"/>
    <s v="Online"/>
    <n v="9195392"/>
    <n v="215517"/>
  </r>
  <r>
    <n v="2022"/>
    <x v="1"/>
    <x v="5"/>
    <x v="0"/>
    <x v="7"/>
    <x v="3"/>
    <n v="40"/>
    <s v="Male"/>
    <x v="0"/>
    <d v="2022-04-16T00:00:00"/>
    <x v="3"/>
    <s v="Cancelled"/>
    <n v="29"/>
    <n v="97"/>
    <n v="116568"/>
    <s v="Online"/>
    <n v="3380472"/>
    <n v="104911.2"/>
  </r>
  <r>
    <n v="2023"/>
    <x v="7"/>
    <x v="6"/>
    <x v="0"/>
    <x v="7"/>
    <x v="4"/>
    <n v="33"/>
    <s v="Male"/>
    <x v="1"/>
    <d v="2023-08-12T00:00:00"/>
    <x v="3"/>
    <s v="Cancelled"/>
    <n v="22"/>
    <n v="80"/>
    <n v="53736"/>
    <s v="Cash"/>
    <n v="1182192"/>
    <n v="36943.5"/>
  </r>
  <r>
    <n v="2023"/>
    <x v="8"/>
    <x v="0"/>
    <x v="0"/>
    <x v="7"/>
    <x v="5"/>
    <n v="31"/>
    <s v="Male"/>
    <x v="1"/>
    <d v="2023-05-24T00:00:00"/>
    <x v="5"/>
    <s v="Confirmed"/>
    <n v="10"/>
    <n v="117"/>
    <n v="219168"/>
    <s v="Debit Card"/>
    <n v="2191680"/>
    <n v="17122.5"/>
  </r>
  <r>
    <n v="2023"/>
    <x v="6"/>
    <x v="7"/>
    <x v="0"/>
    <x v="7"/>
    <x v="6"/>
    <n v="72"/>
    <s v="Female"/>
    <x v="0"/>
    <d v="2023-03-14T00:00:00"/>
    <x v="2"/>
    <s v="Pending"/>
    <n v="4"/>
    <n v="89"/>
    <n v="2398"/>
    <s v="Credit Card"/>
    <n v="9592"/>
    <n v="5755.2"/>
  </r>
  <r>
    <n v="2022"/>
    <x v="6"/>
    <x v="0"/>
    <x v="5"/>
    <x v="8"/>
    <x v="7"/>
    <n v="64"/>
    <s v="Female"/>
    <x v="0"/>
    <d v="2022-03-26T00:00:00"/>
    <x v="0"/>
    <s v="Pending"/>
    <n v="26"/>
    <n v="114"/>
    <n v="3976"/>
    <s v="Cash"/>
    <n v="103376"/>
    <n v="75146.399999999994"/>
  </r>
  <r>
    <n v="2022"/>
    <x v="7"/>
    <x v="1"/>
    <x v="5"/>
    <x v="8"/>
    <x v="8"/>
    <n v="22"/>
    <s v="Male"/>
    <x v="1"/>
    <d v="2022-08-09T00:00:00"/>
    <x v="1"/>
    <s v="Cancelled"/>
    <n v="38"/>
    <n v="105"/>
    <n v="35248"/>
    <s v="Credit Card"/>
    <n v="1339424"/>
    <n v="91204.2"/>
  </r>
  <r>
    <n v="2023"/>
    <x v="8"/>
    <x v="2"/>
    <x v="5"/>
    <x v="8"/>
    <x v="9"/>
    <n v="49"/>
    <s v="Female"/>
    <x v="0"/>
    <d v="2023-05-16T00:00:00"/>
    <x v="1"/>
    <s v="Cancelled"/>
    <n v="25"/>
    <n v="109"/>
    <n v="42008"/>
    <s v="Credit Card"/>
    <n v="1050200"/>
    <n v="97668.599999999991"/>
  </r>
  <r>
    <n v="2022"/>
    <x v="0"/>
    <x v="3"/>
    <x v="5"/>
    <x v="8"/>
    <x v="10"/>
    <n v="46"/>
    <s v="Female"/>
    <x v="0"/>
    <d v="2022-01-15T00:00:00"/>
    <x v="3"/>
    <s v="Pending"/>
    <n v="16"/>
    <n v="99"/>
    <n v="220104"/>
    <s v="Debit Card"/>
    <n v="3521664"/>
    <n v="104549.4"/>
  </r>
  <r>
    <n v="2022"/>
    <x v="3"/>
    <x v="0"/>
    <x v="5"/>
    <x v="8"/>
    <x v="11"/>
    <n v="38"/>
    <s v="Female"/>
    <x v="0"/>
    <d v="2022-10-16T00:00:00"/>
    <x v="4"/>
    <s v="Pending"/>
    <n v="38"/>
    <n v="115"/>
    <n v="9707"/>
    <s v="Debit Card"/>
    <n v="368866"/>
    <n v="270825.3"/>
  </r>
  <r>
    <n v="2023"/>
    <x v="5"/>
    <x v="0"/>
    <x v="5"/>
    <x v="8"/>
    <x v="12"/>
    <n v="45"/>
    <s v="Female"/>
    <x v="0"/>
    <d v="2023-09-13T00:00:00"/>
    <x v="0"/>
    <s v="Pending"/>
    <n v="24"/>
    <n v="80"/>
    <n v="340"/>
    <s v="Online"/>
    <n v="8160"/>
    <n v="6018"/>
  </r>
  <r>
    <n v="2023"/>
    <x v="2"/>
    <x v="1"/>
    <x v="5"/>
    <x v="8"/>
    <x v="13"/>
    <n v="35"/>
    <s v="Male"/>
    <x v="1"/>
    <d v="2023-06-18T00:00:00"/>
    <x v="5"/>
    <s v="Cancelled"/>
    <n v="27"/>
    <n v="109"/>
    <n v="76704"/>
    <s v="Cash"/>
    <n v="2071008"/>
    <n v="86702.7"/>
  </r>
  <r>
    <n v="2022"/>
    <x v="9"/>
    <x v="4"/>
    <x v="5"/>
    <x v="8"/>
    <x v="14"/>
    <n v="56"/>
    <s v="Female"/>
    <x v="1"/>
    <d v="2022-11-27T00:00:00"/>
    <x v="3"/>
    <s v="Confirmed"/>
    <n v="34"/>
    <n v="96"/>
    <n v="17304"/>
    <s v="Online"/>
    <n v="588336"/>
    <n v="17952.899999999998"/>
  </r>
  <r>
    <n v="2023"/>
    <x v="3"/>
    <x v="0"/>
    <x v="5"/>
    <x v="8"/>
    <x v="15"/>
    <n v="56"/>
    <s v="Female"/>
    <x v="0"/>
    <d v="2023-10-03T00:00:00"/>
    <x v="3"/>
    <s v="Cancelled"/>
    <n v="14"/>
    <n v="105"/>
    <n v="155856"/>
    <s v="Online"/>
    <n v="2181984"/>
    <n v="64290.6"/>
  </r>
  <r>
    <n v="2022"/>
    <x v="3"/>
    <x v="0"/>
    <x v="5"/>
    <x v="8"/>
    <x v="16"/>
    <n v="55"/>
    <s v="Female"/>
    <x v="0"/>
    <d v="2022-10-26T00:00:00"/>
    <x v="4"/>
    <s v="Pending"/>
    <n v="21"/>
    <n v="92"/>
    <n v="1945"/>
    <s v="Cash"/>
    <n v="40845"/>
    <n v="19255.5"/>
  </r>
  <r>
    <n v="2023"/>
    <x v="10"/>
    <x v="4"/>
    <x v="5"/>
    <x v="8"/>
    <x v="17"/>
    <n v="19"/>
    <s v="Female"/>
    <x v="1"/>
    <d v="2023-07-31T00:00:00"/>
    <x v="1"/>
    <s v="Confirmed"/>
    <n v="16"/>
    <n v="110"/>
    <n v="75528"/>
    <s v="Debit Card"/>
    <n v="1208448"/>
    <n v="107627.4"/>
  </r>
  <r>
    <n v="2022"/>
    <x v="5"/>
    <x v="3"/>
    <x v="5"/>
    <x v="8"/>
    <x v="18"/>
    <n v="58"/>
    <s v="Female"/>
    <x v="0"/>
    <d v="2022-09-07T00:00:00"/>
    <x v="4"/>
    <s v="Pending"/>
    <n v="4"/>
    <n v="119"/>
    <n v="1683"/>
    <s v="Debit Card"/>
    <n v="6732"/>
    <n v="19691.099999999999"/>
  </r>
  <r>
    <n v="2022"/>
    <x v="0"/>
    <x v="3"/>
    <x v="3"/>
    <x v="9"/>
    <x v="19"/>
    <n v="46"/>
    <s v="Female"/>
    <x v="1"/>
    <d v="2022-01-15T00:00:00"/>
    <x v="3"/>
    <s v="Pending"/>
    <n v="8"/>
    <n v="99"/>
    <n v="220104"/>
    <s v="Debit Card"/>
    <n v="1760832"/>
    <n v="104549.4"/>
  </r>
  <r>
    <n v="2022"/>
    <x v="5"/>
    <x v="3"/>
    <x v="3"/>
    <x v="9"/>
    <x v="20"/>
    <n v="58"/>
    <s v="Female"/>
    <x v="1"/>
    <d v="2022-09-07T00:00:00"/>
    <x v="4"/>
    <s v="Pending"/>
    <n v="8"/>
    <n v="119"/>
    <n v="1683"/>
    <s v="Debit Card"/>
    <n v="13464"/>
    <n v="19691.099999999999"/>
  </r>
  <r>
    <n v="2022"/>
    <x v="7"/>
    <x v="7"/>
    <x v="3"/>
    <x v="9"/>
    <x v="21"/>
    <n v="54"/>
    <s v="Female"/>
    <x v="1"/>
    <d v="2022-08-03T00:00:00"/>
    <x v="5"/>
    <s v="Confirmed"/>
    <n v="28"/>
    <n v="123"/>
    <n v="52768"/>
    <s v="Debit Card"/>
    <n v="1477504"/>
    <n v="117463.2"/>
  </r>
  <r>
    <n v="2023"/>
    <x v="2"/>
    <x v="7"/>
    <x v="3"/>
    <x v="9"/>
    <x v="22"/>
    <n v="68"/>
    <s v="Male"/>
    <x v="0"/>
    <d v="2023-06-22T00:00:00"/>
    <x v="5"/>
    <s v="Cancelled"/>
    <n v="28"/>
    <n v="99"/>
    <n v="23616"/>
    <s v="Cash"/>
    <n v="661248"/>
    <n v="31350.3"/>
  </r>
  <r>
    <n v="2022"/>
    <x v="2"/>
    <x v="7"/>
    <x v="3"/>
    <x v="9"/>
    <x v="23"/>
    <n v="52"/>
    <s v="Male"/>
    <x v="0"/>
    <d v="2022-06-26T00:00:00"/>
    <x v="2"/>
    <s v="Cancelled"/>
    <n v="15"/>
    <n v="106"/>
    <n v="8278"/>
    <s v="Online"/>
    <n v="124170"/>
    <n v="89402.4"/>
  </r>
  <r>
    <n v="2022"/>
    <x v="5"/>
    <x v="3"/>
    <x v="3"/>
    <x v="9"/>
    <x v="24"/>
    <n v="27"/>
    <s v="Male"/>
    <x v="1"/>
    <d v="2022-09-20T00:00:00"/>
    <x v="5"/>
    <s v="Confirmed"/>
    <n v="13"/>
    <n v="107"/>
    <n v="119616"/>
    <s v="Cash"/>
    <n v="1555008"/>
    <n v="11587.8"/>
  </r>
  <r>
    <n v="2022"/>
    <x v="0"/>
    <x v="3"/>
    <x v="3"/>
    <x v="10"/>
    <x v="25"/>
    <n v="46"/>
    <s v="Female"/>
    <x v="1"/>
    <d v="2022-01-15T00:00:00"/>
    <x v="3"/>
    <s v="Pending"/>
    <n v="16"/>
    <n v="99"/>
    <n v="220104"/>
    <s v="Debit Card"/>
    <n v="3521664"/>
    <n v="104549.4"/>
  </r>
  <r>
    <n v="2022"/>
    <x v="5"/>
    <x v="3"/>
    <x v="3"/>
    <x v="10"/>
    <x v="26"/>
    <n v="58"/>
    <s v="Female"/>
    <x v="0"/>
    <d v="2022-09-07T00:00:00"/>
    <x v="4"/>
    <s v="Pending"/>
    <n v="16"/>
    <n v="119"/>
    <n v="1683"/>
    <s v="Debit Card"/>
    <n v="26928"/>
    <n v="19691.099999999999"/>
  </r>
  <r>
    <n v="2022"/>
    <x v="7"/>
    <x v="7"/>
    <x v="3"/>
    <x v="10"/>
    <x v="27"/>
    <n v="54"/>
    <s v="Female"/>
    <x v="1"/>
    <d v="2022-08-03T00:00:00"/>
    <x v="5"/>
    <s v="Confirmed"/>
    <n v="28"/>
    <n v="123"/>
    <n v="52768"/>
    <s v="Debit Card"/>
    <n v="1477504"/>
    <n v="117463.2"/>
  </r>
  <r>
    <n v="2023"/>
    <x v="2"/>
    <x v="7"/>
    <x v="3"/>
    <x v="10"/>
    <x v="0"/>
    <n v="68"/>
    <s v="Male"/>
    <x v="0"/>
    <d v="2023-06-22T00:00:00"/>
    <x v="5"/>
    <s v="Cancelled"/>
    <n v="16"/>
    <n v="99"/>
    <n v="23616"/>
    <s v="Cash"/>
    <n v="377856"/>
    <n v="31350.3"/>
  </r>
  <r>
    <n v="2022"/>
    <x v="2"/>
    <x v="7"/>
    <x v="3"/>
    <x v="10"/>
    <x v="1"/>
    <n v="52"/>
    <s v="Male"/>
    <x v="1"/>
    <d v="2022-06-26T00:00:00"/>
    <x v="2"/>
    <s v="Cancelled"/>
    <n v="15"/>
    <n v="106"/>
    <n v="8278"/>
    <s v="Online"/>
    <n v="124170"/>
    <n v="89402.4"/>
  </r>
  <r>
    <n v="2022"/>
    <x v="5"/>
    <x v="3"/>
    <x v="3"/>
    <x v="10"/>
    <x v="2"/>
    <n v="27"/>
    <s v="Male"/>
    <x v="1"/>
    <d v="2022-09-20T00:00:00"/>
    <x v="5"/>
    <s v="Confirmed"/>
    <n v="6"/>
    <n v="107"/>
    <n v="119616"/>
    <s v="Cash"/>
    <n v="717696"/>
    <n v="11587.8"/>
  </r>
  <r>
    <n v="2022"/>
    <x v="0"/>
    <x v="3"/>
    <x v="3"/>
    <x v="10"/>
    <x v="3"/>
    <n v="46"/>
    <s v="Female"/>
    <x v="0"/>
    <d v="2022-01-15T00:00:00"/>
    <x v="3"/>
    <s v="Pending"/>
    <n v="16"/>
    <n v="99"/>
    <n v="220104"/>
    <s v="Debit Card"/>
    <n v="3521664"/>
    <n v="104549.4"/>
  </r>
  <r>
    <n v="2022"/>
    <x v="5"/>
    <x v="3"/>
    <x v="3"/>
    <x v="10"/>
    <x v="4"/>
    <n v="58"/>
    <s v="Female"/>
    <x v="1"/>
    <d v="2022-09-07T00:00:00"/>
    <x v="4"/>
    <s v="Pending"/>
    <n v="16"/>
    <n v="119"/>
    <n v="1683"/>
    <s v="Debit Card"/>
    <n v="26928"/>
    <n v="19691.099999999999"/>
  </r>
  <r>
    <n v="2022"/>
    <x v="7"/>
    <x v="7"/>
    <x v="3"/>
    <x v="10"/>
    <x v="5"/>
    <n v="54"/>
    <s v="Female"/>
    <x v="1"/>
    <d v="2022-08-03T00:00:00"/>
    <x v="5"/>
    <s v="Confirmed"/>
    <n v="28"/>
    <n v="123"/>
    <n v="252768"/>
    <s v="Debit Card"/>
    <n v="7077504"/>
    <n v="117463.2"/>
  </r>
  <r>
    <n v="2023"/>
    <x v="2"/>
    <x v="7"/>
    <x v="3"/>
    <x v="10"/>
    <x v="6"/>
    <n v="68"/>
    <s v="Male"/>
    <x v="0"/>
    <d v="2023-06-22T00:00:00"/>
    <x v="5"/>
    <s v="Cancelled"/>
    <n v="28"/>
    <n v="99"/>
    <n v="223616"/>
    <s v="Cash"/>
    <n v="6261248"/>
    <n v="31350.3"/>
  </r>
  <r>
    <n v="2022"/>
    <x v="2"/>
    <x v="7"/>
    <x v="3"/>
    <x v="10"/>
    <x v="7"/>
    <n v="52"/>
    <s v="Male"/>
    <x v="0"/>
    <d v="2022-06-26T00:00:00"/>
    <x v="2"/>
    <s v="Cancelled"/>
    <n v="15"/>
    <n v="106"/>
    <n v="8278"/>
    <s v="Online"/>
    <n v="124170"/>
    <n v="89402.4"/>
  </r>
  <r>
    <n v="2022"/>
    <x v="5"/>
    <x v="3"/>
    <x v="3"/>
    <x v="10"/>
    <x v="8"/>
    <n v="27"/>
    <s v="Male"/>
    <x v="0"/>
    <d v="2022-09-20T00:00:00"/>
    <x v="5"/>
    <s v="Confirmed"/>
    <n v="12"/>
    <n v="107"/>
    <n v="119616"/>
    <s v="Cash"/>
    <n v="1435392"/>
    <n v="11587.8"/>
  </r>
  <r>
    <n v="2022"/>
    <x v="1"/>
    <x v="1"/>
    <x v="1"/>
    <x v="11"/>
    <x v="9"/>
    <n v="21"/>
    <s v="Male"/>
    <x v="0"/>
    <d v="2022-04-23T00:00:00"/>
    <x v="0"/>
    <s v="Pending"/>
    <n v="26"/>
    <n v="106"/>
    <n v="3928"/>
    <s v="Credit Card"/>
    <n v="102128"/>
    <n v="44779.199999999997"/>
  </r>
  <r>
    <n v="2022"/>
    <x v="4"/>
    <x v="1"/>
    <x v="1"/>
    <x v="11"/>
    <x v="10"/>
    <n v="56"/>
    <s v="Female"/>
    <x v="0"/>
    <d v="2022-12-19T00:00:00"/>
    <x v="3"/>
    <s v="Pending"/>
    <n v="47"/>
    <n v="121"/>
    <n v="173568"/>
    <s v="Cash"/>
    <n v="8157696"/>
    <n v="197433.60000000001"/>
  </r>
  <r>
    <n v="2022"/>
    <x v="7"/>
    <x v="1"/>
    <x v="1"/>
    <x v="11"/>
    <x v="11"/>
    <n v="22"/>
    <s v="Male"/>
    <x v="0"/>
    <d v="2022-08-09T00:00:00"/>
    <x v="1"/>
    <s v="Cancelled"/>
    <n v="38"/>
    <n v="105"/>
    <n v="35248"/>
    <s v="Credit Card"/>
    <n v="1339424"/>
    <n v="91204.2"/>
  </r>
  <r>
    <n v="2023"/>
    <x v="2"/>
    <x v="1"/>
    <x v="1"/>
    <x v="11"/>
    <x v="12"/>
    <n v="35"/>
    <s v="Male"/>
    <x v="0"/>
    <d v="2023-06-18T00:00:00"/>
    <x v="5"/>
    <s v="Cancelled"/>
    <n v="27"/>
    <n v="109"/>
    <n v="76704"/>
    <s v="Cash"/>
    <n v="2071008"/>
    <n v="86702.7"/>
  </r>
  <r>
    <n v="2022"/>
    <x v="9"/>
    <x v="1"/>
    <x v="1"/>
    <x v="11"/>
    <x v="13"/>
    <n v="20"/>
    <s v="Male"/>
    <x v="0"/>
    <d v="2022-11-01T00:00:00"/>
    <x v="2"/>
    <s v="Pending"/>
    <n v="19"/>
    <n v="125"/>
    <n v="7364"/>
    <s v="Online"/>
    <n v="139916"/>
    <n v="46393.2"/>
  </r>
  <r>
    <n v="2022"/>
    <x v="1"/>
    <x v="1"/>
    <x v="1"/>
    <x v="11"/>
    <x v="14"/>
    <n v="21"/>
    <s v="Male"/>
    <x v="0"/>
    <d v="2022-04-23T00:00:00"/>
    <x v="0"/>
    <s v="Pending"/>
    <n v="26"/>
    <n v="106"/>
    <n v="3928"/>
    <s v="Credit Card"/>
    <n v="102128"/>
    <n v="44779.199999999997"/>
  </r>
  <r>
    <n v="2022"/>
    <x v="4"/>
    <x v="1"/>
    <x v="1"/>
    <x v="11"/>
    <x v="15"/>
    <n v="56"/>
    <s v="Female"/>
    <x v="0"/>
    <d v="2022-12-19T00:00:00"/>
    <x v="3"/>
    <s v="Pending"/>
    <n v="47"/>
    <n v="121"/>
    <n v="173568"/>
    <s v="Cash"/>
    <n v="8157696"/>
    <n v="197433.60000000001"/>
  </r>
  <r>
    <n v="2022"/>
    <x v="7"/>
    <x v="1"/>
    <x v="1"/>
    <x v="11"/>
    <x v="16"/>
    <n v="22"/>
    <s v="Male"/>
    <x v="1"/>
    <d v="2022-08-09T00:00:00"/>
    <x v="1"/>
    <s v="Cancelled"/>
    <n v="38"/>
    <n v="105"/>
    <n v="35248"/>
    <s v="Credit Card"/>
    <n v="1339424"/>
    <n v="91204.2"/>
  </r>
  <r>
    <n v="2023"/>
    <x v="2"/>
    <x v="1"/>
    <x v="1"/>
    <x v="11"/>
    <x v="17"/>
    <n v="35"/>
    <s v="Male"/>
    <x v="1"/>
    <d v="2023-06-18T00:00:00"/>
    <x v="5"/>
    <s v="Cancelled"/>
    <n v="27"/>
    <n v="109"/>
    <n v="76704"/>
    <s v="Cash"/>
    <n v="2071008"/>
    <n v="86702.7"/>
  </r>
  <r>
    <n v="2022"/>
    <x v="9"/>
    <x v="1"/>
    <x v="1"/>
    <x v="11"/>
    <x v="18"/>
    <n v="20"/>
    <s v="Male"/>
    <x v="0"/>
    <d v="2022-11-01T00:00:00"/>
    <x v="2"/>
    <s v="Pending"/>
    <n v="19"/>
    <n v="125"/>
    <n v="7364"/>
    <s v="Online"/>
    <n v="139916"/>
    <n v="46393.2"/>
  </r>
  <r>
    <n v="2022"/>
    <x v="11"/>
    <x v="0"/>
    <x v="0"/>
    <x v="0"/>
    <x v="0"/>
    <n v="37"/>
    <s v="Female"/>
    <x v="0"/>
    <d v="2022-02-09T00:00:00"/>
    <x v="0"/>
    <s v="Cancelled"/>
    <n v="16"/>
    <n v="99"/>
    <n v="4867"/>
    <s v="Online"/>
    <n v="43803"/>
    <n v="32122.199999999997"/>
  </r>
  <r>
    <n v="2022"/>
    <x v="11"/>
    <x v="3"/>
    <x v="3"/>
    <x v="3"/>
    <x v="9"/>
    <n v="46"/>
    <s v="Female"/>
    <x v="1"/>
    <d v="2022-02-15T00:00:00"/>
    <x v="3"/>
    <s v="Pending"/>
    <n v="16"/>
    <n v="99"/>
    <n v="20104"/>
    <s v="Debit Card"/>
    <n v="321664"/>
    <n v="104549.4"/>
  </r>
  <r>
    <n v="2022"/>
    <x v="11"/>
    <x v="4"/>
    <x v="4"/>
    <x v="4"/>
    <x v="22"/>
    <n v="21"/>
    <s v="Female"/>
    <x v="0"/>
    <d v="2022-02-25T00:00:00"/>
    <x v="3"/>
    <s v="Cancelled"/>
    <n v="38"/>
    <n v="92"/>
    <n v="6456"/>
    <s v="Cash"/>
    <n v="245328"/>
    <n v="216755.1"/>
  </r>
  <r>
    <n v="2022"/>
    <x v="11"/>
    <x v="2"/>
    <x v="2"/>
    <x v="2"/>
    <x v="6"/>
    <n v="68"/>
    <s v="Male"/>
    <x v="0"/>
    <d v="2022-02-23T00:00:00"/>
    <x v="6"/>
    <s v="Confirmed"/>
    <n v="76"/>
    <n v="110"/>
    <n v="161408"/>
    <s v="Online"/>
    <n v="12267008"/>
    <n v="43882.799999999996"/>
  </r>
  <r>
    <n v="2022"/>
    <x v="11"/>
    <x v="2"/>
    <x v="2"/>
    <x v="6"/>
    <x v="21"/>
    <n v="49"/>
    <s v="Male"/>
    <x v="0"/>
    <d v="2022-02-23T00:00:00"/>
    <x v="6"/>
    <s v="Confirmed"/>
    <n v="37"/>
    <n v="110"/>
    <n v="161408"/>
    <s v="Online"/>
    <n v="5972096"/>
    <n v="43882.799999999996"/>
  </r>
  <r>
    <n v="2022"/>
    <x v="11"/>
    <x v="3"/>
    <x v="5"/>
    <x v="8"/>
    <x v="10"/>
    <n v="46"/>
    <s v="Female"/>
    <x v="0"/>
    <d v="2022-02-15T00:00:00"/>
    <x v="3"/>
    <s v="Pending"/>
    <n v="16"/>
    <n v="99"/>
    <n v="220104"/>
    <s v="Debit Card"/>
    <n v="3521664"/>
    <n v="104549.4"/>
  </r>
  <r>
    <n v="2022"/>
    <x v="11"/>
    <x v="3"/>
    <x v="3"/>
    <x v="9"/>
    <x v="19"/>
    <n v="46"/>
    <s v="Female"/>
    <x v="1"/>
    <d v="2022-02-15T00:00:00"/>
    <x v="3"/>
    <s v="Pending"/>
    <n v="8"/>
    <n v="99"/>
    <n v="220104"/>
    <s v="Debit Card"/>
    <n v="1760832"/>
    <n v="104549.4"/>
  </r>
  <r>
    <n v="2022"/>
    <x v="11"/>
    <x v="3"/>
    <x v="3"/>
    <x v="10"/>
    <x v="25"/>
    <n v="46"/>
    <s v="Female"/>
    <x v="1"/>
    <d v="2022-02-15T00:00:00"/>
    <x v="3"/>
    <s v="Pending"/>
    <n v="16"/>
    <n v="99"/>
    <n v="220104"/>
    <s v="Debit Card"/>
    <n v="3521664"/>
    <n v="104549.4"/>
  </r>
  <r>
    <n v="2022"/>
    <x v="11"/>
    <x v="3"/>
    <x v="3"/>
    <x v="10"/>
    <x v="3"/>
    <n v="46"/>
    <s v="Female"/>
    <x v="0"/>
    <d v="2022-02-15T00:00:00"/>
    <x v="3"/>
    <s v="Pending"/>
    <n v="16"/>
    <n v="99"/>
    <n v="220104"/>
    <s v="Debit Card"/>
    <n v="3521664"/>
    <n v="104549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93AAA-6C55-43A9-B7C1-A4032FC2FD16}" name="PivotTable8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0:Q33" firstHeaderRow="1" firstDataRow="1" firstDataCol="1"/>
  <pivotFields count="18">
    <pivotField showAll="0"/>
    <pivotField showAll="0"/>
    <pivotField showAll="0"/>
    <pivotField showAll="0"/>
    <pivotField axis="axisRow" showAll="0">
      <items count="13">
        <item x="4"/>
        <item x="6"/>
        <item x="11"/>
        <item x="10"/>
        <item x="1"/>
        <item x="9"/>
        <item x="7"/>
        <item x="8"/>
        <item x="2"/>
        <item x="3"/>
        <item x="5"/>
        <item x="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numFmtId="165" showAll="0"/>
    <pivotField numFmtId="165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oom Availabl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2B625-1A24-49F6-AEC0-B1E5055AA34F}" name="PivotTable6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0:K29" firstHeaderRow="1" firstDataRow="1" firstDataCol="1"/>
  <pivotFields count="18">
    <pivotField showAll="0"/>
    <pivotField showAll="0"/>
    <pivotField axis="axisRow" dataField="1" showAll="0">
      <items count="9">
        <item x="3"/>
        <item x="1"/>
        <item x="7"/>
        <item x="6"/>
        <item x="2"/>
        <item x="0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Hotel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CD6E4-DBCF-43DA-B1F1-5E55DE51A5B3}" name="PivotTable13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22:Y30" firstHeaderRow="0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8">
        <item x="0"/>
        <item x="5"/>
        <item x="6"/>
        <item x="4"/>
        <item x="3"/>
        <item x="1"/>
        <item x="2"/>
        <item t="default"/>
      </items>
    </pivotField>
    <pivotField showAll="0"/>
    <pivotField dataField="1" showAll="0"/>
    <pivotField dataField="1" showAll="0"/>
    <pivotField showAll="0"/>
    <pivotField showAll="0"/>
    <pivotField numFmtId="165" showAll="0"/>
    <pivotField numFmtId="165"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oom Booked" fld="12" baseField="0" baseItem="0"/>
    <dataField name="Sum of Room Available" fld="13" baseField="0" baseItem="0"/>
  </dataFields>
  <formats count="6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17798-E12A-4173-AB23-60AB0895EC0A}" name="PivotTable1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B29" firstHeaderRow="1" firstDataRow="1" firstDataCol="1"/>
  <pivotFields count="18">
    <pivotField showAll="0"/>
    <pivotField showAll="0"/>
    <pivotField axis="axisRow" showAll="0">
      <items count="9">
        <item x="3"/>
        <item x="1"/>
        <item x="7"/>
        <item x="6"/>
        <item x="2"/>
        <item x="0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numFmtId="165" showAll="0"/>
    <pivotField numFmtId="165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oom Availabl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9D1F23-37CB-45D6-9CD1-AE189AE08A62}" name="PivotTable3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0:E27" firstHeaderRow="1" firstDataRow="1" firstDataCol="1"/>
  <pivotFields count="18">
    <pivotField showAll="0"/>
    <pivotField showAll="0"/>
    <pivotField showAll="0"/>
    <pivotField axis="axisRow" showAll="0">
      <items count="7">
        <item x="0"/>
        <item x="2"/>
        <item x="5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numFmtId="165" showAll="0"/>
    <pivotField numFmtId="165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oom Booke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8C54A7-236B-4FCD-BFCA-12A48FD1E304}" name="PivotTable10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20:U23" firstHeaderRow="0" firstDataRow="1" firstDataCol="1"/>
  <pivotFields count="18"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 ID" fld="5" subtotal="count" baseField="0" baseItem="0"/>
    <dataField name="Count of Customer ID2" fld="5" subtotal="count" showDataAs="percentOfTotal" baseField="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58D43-3279-42D1-9DAB-60CADF4F75D2}" name="PivotTable4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0:H49" firstHeaderRow="1" firstDataRow="1" firstDataCol="1"/>
  <pivotFields count="18">
    <pivotField showAll="0"/>
    <pivotField showAll="0"/>
    <pivotField showAll="0"/>
    <pivotField showAll="0"/>
    <pivotField showAll="0"/>
    <pivotField axis="axisRow" dataField="1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</pivotFields>
  <rowFields count="1">
    <field x="5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Count of Customer ID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260F1-FCD5-48DF-8947-030F900C3522}" name="PivotTable7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0:N29" firstHeaderRow="1" firstDataRow="1" firstDataCol="1"/>
  <pivotFields count="18">
    <pivotField showAll="0"/>
    <pivotField showAll="0"/>
    <pivotField axis="axisRow" showAll="0">
      <items count="9">
        <item x="3"/>
        <item x="1"/>
        <item x="7"/>
        <item x="6"/>
        <item x="2"/>
        <item x="0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numFmtId="165" showAll="0"/>
    <pivotField numFmtId="165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oom Booke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AA4E2-989A-40A7-872D-4FAB94367717}" name="PivotTable12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B20:AC33" firstHeaderRow="1" firstDataRow="1" firstDataCol="1"/>
  <pivotFields count="18">
    <pivotField showAll="0"/>
    <pivotField axis="axisRow" showAll="0">
      <items count="13">
        <item x="0"/>
        <item x="11"/>
        <item x="6"/>
        <item x="1"/>
        <item x="8"/>
        <item x="2"/>
        <item x="10"/>
        <item x="7"/>
        <item x="5"/>
        <item x="3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65" showAll="0"/>
    <pivotField dataField="1" numFmtId="165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1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A4ABDE-A8D4-4428-AAE7-9D4EC2A38F0E}" name="Table2" displayName="Table2" ref="A1:R141" totalsRowShown="0" headerRowDxfId="24">
  <tableColumns count="18">
    <tableColumn id="19" xr3:uid="{8C07F345-94A7-41E9-820D-2AB4E646AA13}" name="Year" dataDxfId="23"/>
    <tableColumn id="20" xr3:uid="{F98B5A31-4E06-425E-977C-E40F048B6D2A}" name="Month" dataDxfId="22"/>
    <tableColumn id="1" xr3:uid="{513F621A-3446-4BB1-AC27-71F0A8030D0F}" name="Hotel Name" dataDxfId="21"/>
    <tableColumn id="15" xr3:uid="{6BD0DC92-1CC8-4C52-8A29-11FAAAF8B5E1}" name="Country" dataDxfId="20"/>
    <tableColumn id="2" xr3:uid="{45B55F4E-59E0-4E03-9D81-87C7D6F426C7}" name="City" dataDxfId="19"/>
    <tableColumn id="3" xr3:uid="{ACD96620-7C96-40BE-B0E6-80472D289EF3}" name="Customer ID" dataDxfId="18"/>
    <tableColumn id="4" xr3:uid="{E2B5331B-2E7E-4196-BBB3-2558A65E925D}" name="Customer Age" dataDxfId="17"/>
    <tableColumn id="5" xr3:uid="{CF15EAF2-343F-4CA4-B7BA-19839DECA63A}" name="Customer Gender" dataDxfId="16"/>
    <tableColumn id="6" xr3:uid="{7754A21A-17C2-4EA2-A4CB-2FA21AD1823B}" name="Customer Type" dataDxfId="15"/>
    <tableColumn id="7" xr3:uid="{263A14EE-D16E-4BCC-8236-FC24797829F1}" name="Booking Date" dataDxfId="14"/>
    <tableColumn id="14" xr3:uid="{B8C3BA65-61F6-4286-A1E0-E9CA5C63BAAE}" name="Room Type" dataDxfId="13"/>
    <tableColumn id="8" xr3:uid="{BA01AA2D-BD7B-428B-B224-696FC669C1C6}" name="Booking Status" dataDxfId="12"/>
    <tableColumn id="9" xr3:uid="{AB8C77DD-38AD-4C4E-AEB5-CD4FF2C603A8}" name="Room Booked" dataDxfId="11"/>
    <tableColumn id="10" xr3:uid="{31D54AA7-4218-4694-AEA9-5A23B28EC61A}" name="Room Available" dataDxfId="10"/>
    <tableColumn id="11" xr3:uid="{C3CC2DBF-36B0-4863-8B0E-57DC6818745D}" name="Price" dataDxfId="9"/>
    <tableColumn id="12" xr3:uid="{2CA286BB-031C-4962-9566-2EA386134E26}" name="Payment Mode" dataDxfId="8"/>
    <tableColumn id="13" xr3:uid="{707D3C22-0C7F-4CE6-8EC9-741C33F0081C}" name="Total Revenue" dataDxfId="7" dataCellStyle="Comma">
      <calculatedColumnFormula>Table2[[#This Row],[Room Booked]]*Table2[[#This Row],[Price]]</calculatedColumnFormula>
    </tableColumn>
    <tableColumn id="16" xr3:uid="{C48F897A-0BD5-45BF-ACE5-72544EE7098D}" name="Profit" dataDxfId="6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2FFB-1035-4BD9-B9FC-F82FC1E712C8}">
  <sheetPr codeName="Sheet1">
    <tabColor theme="8" tint="-0.249977111117893"/>
  </sheetPr>
  <dimension ref="A1:R141"/>
  <sheetViews>
    <sheetView topLeftCell="A8" workbookViewId="0">
      <selection activeCell="E27" sqref="E27"/>
    </sheetView>
  </sheetViews>
  <sheetFormatPr defaultRowHeight="15" x14ac:dyDescent="0.25"/>
  <cols>
    <col min="3" max="3" width="33.5703125" customWidth="1"/>
    <col min="4" max="4" width="21.85546875" customWidth="1"/>
    <col min="6" max="6" width="13.7109375" customWidth="1"/>
    <col min="7" max="7" width="12.7109375" customWidth="1"/>
    <col min="8" max="8" width="13.7109375" customWidth="1"/>
    <col min="9" max="9" width="12.5703125" customWidth="1"/>
    <col min="10" max="10" width="13.5703125" customWidth="1"/>
    <col min="17" max="17" width="13" customWidth="1"/>
    <col min="18" max="18" width="12.42578125" customWidth="1"/>
  </cols>
  <sheetData>
    <row r="1" spans="1:1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2022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37</v>
      </c>
      <c r="H2" s="2" t="s">
        <v>23</v>
      </c>
      <c r="I2" s="2" t="s">
        <v>24</v>
      </c>
      <c r="J2" s="3">
        <v>44570</v>
      </c>
      <c r="K2" s="2" t="s">
        <v>25</v>
      </c>
      <c r="L2" s="2" t="s">
        <v>26</v>
      </c>
      <c r="M2" s="2">
        <v>9</v>
      </c>
      <c r="N2" s="2">
        <v>123</v>
      </c>
      <c r="O2" s="2">
        <v>4867</v>
      </c>
      <c r="P2" s="2" t="s">
        <v>27</v>
      </c>
      <c r="Q2" s="4">
        <f>Table2[[#This Row],[Room Booked]]*Table2[[#This Row],[Price]]</f>
        <v>43803</v>
      </c>
      <c r="R2" s="4">
        <v>32122.199999999997</v>
      </c>
    </row>
    <row r="3" spans="1:18" x14ac:dyDescent="0.25">
      <c r="A3" s="2">
        <v>2022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>
        <v>21</v>
      </c>
      <c r="H3" s="2" t="s">
        <v>33</v>
      </c>
      <c r="I3" s="2" t="s">
        <v>24</v>
      </c>
      <c r="J3" s="3">
        <v>44674</v>
      </c>
      <c r="K3" s="2" t="s">
        <v>25</v>
      </c>
      <c r="L3" s="2" t="s">
        <v>34</v>
      </c>
      <c r="M3" s="2">
        <v>26</v>
      </c>
      <c r="N3" s="2">
        <v>106</v>
      </c>
      <c r="O3" s="2">
        <v>3928</v>
      </c>
      <c r="P3" s="2" t="s">
        <v>35</v>
      </c>
      <c r="Q3" s="4">
        <f>Table2[[#This Row],[Room Booked]]*Table2[[#This Row],[Price]]</f>
        <v>102128</v>
      </c>
      <c r="R3" s="4">
        <v>44779.199999999997</v>
      </c>
    </row>
    <row r="4" spans="1:18" x14ac:dyDescent="0.25">
      <c r="A4" s="2">
        <v>2022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>
        <v>22</v>
      </c>
      <c r="H4" s="2" t="s">
        <v>23</v>
      </c>
      <c r="I4" s="2" t="s">
        <v>41</v>
      </c>
      <c r="J4" s="3">
        <v>44721</v>
      </c>
      <c r="K4" s="2" t="s">
        <v>42</v>
      </c>
      <c r="L4" s="2" t="s">
        <v>43</v>
      </c>
      <c r="M4" s="2">
        <v>11</v>
      </c>
      <c r="N4" s="2">
        <v>123</v>
      </c>
      <c r="O4" s="2">
        <v>26016</v>
      </c>
      <c r="P4" s="2" t="s">
        <v>27</v>
      </c>
      <c r="Q4" s="4">
        <f>Table2[[#This Row],[Room Booked]]*Table2[[#This Row],[Price]]</f>
        <v>286176</v>
      </c>
      <c r="R4" s="4">
        <v>26341.200000000001</v>
      </c>
    </row>
    <row r="5" spans="1:18" x14ac:dyDescent="0.25">
      <c r="A5" s="2">
        <v>2022</v>
      </c>
      <c r="B5" s="2" t="s">
        <v>44</v>
      </c>
      <c r="C5" s="2" t="s">
        <v>19</v>
      </c>
      <c r="D5" s="2" t="s">
        <v>20</v>
      </c>
      <c r="E5" s="2" t="s">
        <v>21</v>
      </c>
      <c r="F5" s="2" t="s">
        <v>45</v>
      </c>
      <c r="G5" s="2">
        <v>56</v>
      </c>
      <c r="H5" s="2" t="s">
        <v>23</v>
      </c>
      <c r="I5" s="2" t="s">
        <v>41</v>
      </c>
      <c r="J5" s="3">
        <v>44837</v>
      </c>
      <c r="K5" s="2" t="s">
        <v>46</v>
      </c>
      <c r="L5" s="2" t="s">
        <v>34</v>
      </c>
      <c r="M5" s="2">
        <v>19</v>
      </c>
      <c r="N5" s="2">
        <v>86</v>
      </c>
      <c r="O5" s="2">
        <v>4639</v>
      </c>
      <c r="P5" s="2" t="s">
        <v>27</v>
      </c>
      <c r="Q5" s="4">
        <f>Table2[[#This Row],[Room Booked]]*Table2[[#This Row],[Price]]</f>
        <v>88141</v>
      </c>
      <c r="R5" s="4">
        <v>65409.899999999994</v>
      </c>
    </row>
    <row r="6" spans="1:18" x14ac:dyDescent="0.25">
      <c r="A6" s="2">
        <v>2022</v>
      </c>
      <c r="B6" s="2" t="s">
        <v>47</v>
      </c>
      <c r="C6" s="2" t="s">
        <v>29</v>
      </c>
      <c r="D6" s="2" t="s">
        <v>30</v>
      </c>
      <c r="E6" s="2" t="s">
        <v>31</v>
      </c>
      <c r="F6" s="2" t="s">
        <v>48</v>
      </c>
      <c r="G6" s="2">
        <v>56</v>
      </c>
      <c r="H6" s="2" t="s">
        <v>23</v>
      </c>
      <c r="I6" s="2" t="s">
        <v>24</v>
      </c>
      <c r="J6" s="3">
        <v>44914</v>
      </c>
      <c r="K6" s="2" t="s">
        <v>49</v>
      </c>
      <c r="L6" s="2" t="s">
        <v>34</v>
      </c>
      <c r="M6" s="2">
        <v>47</v>
      </c>
      <c r="N6" s="2">
        <v>121</v>
      </c>
      <c r="O6" s="2">
        <v>73568</v>
      </c>
      <c r="P6" s="2" t="s">
        <v>50</v>
      </c>
      <c r="Q6" s="4">
        <f>Table2[[#This Row],[Room Booked]]*Table2[[#This Row],[Price]]</f>
        <v>3457696</v>
      </c>
      <c r="R6" s="4">
        <v>197433.60000000001</v>
      </c>
    </row>
    <row r="7" spans="1:18" x14ac:dyDescent="0.25">
      <c r="A7" s="2">
        <v>2023</v>
      </c>
      <c r="B7" s="2" t="s">
        <v>51</v>
      </c>
      <c r="C7" s="2" t="s">
        <v>37</v>
      </c>
      <c r="D7" s="2" t="s">
        <v>38</v>
      </c>
      <c r="E7" s="2" t="s">
        <v>39</v>
      </c>
      <c r="F7" s="2" t="s">
        <v>52</v>
      </c>
      <c r="G7" s="2">
        <v>52</v>
      </c>
      <c r="H7" s="2" t="s">
        <v>33</v>
      </c>
      <c r="I7" s="2" t="s">
        <v>24</v>
      </c>
      <c r="J7" s="3">
        <v>45184</v>
      </c>
      <c r="K7" s="2" t="s">
        <v>25</v>
      </c>
      <c r="L7" s="2" t="s">
        <v>26</v>
      </c>
      <c r="M7" s="2">
        <v>22</v>
      </c>
      <c r="N7" s="2">
        <v>123</v>
      </c>
      <c r="O7" s="2">
        <v>7380</v>
      </c>
      <c r="P7" s="2" t="s">
        <v>27</v>
      </c>
      <c r="Q7" s="4">
        <f>Table2[[#This Row],[Room Booked]]*Table2[[#This Row],[Price]]</f>
        <v>162360</v>
      </c>
      <c r="R7" s="4">
        <v>121770</v>
      </c>
    </row>
    <row r="8" spans="1:18" x14ac:dyDescent="0.25">
      <c r="A8" s="2">
        <v>2022</v>
      </c>
      <c r="B8" s="2" t="s">
        <v>53</v>
      </c>
      <c r="C8" s="2" t="s">
        <v>19</v>
      </c>
      <c r="D8" s="2" t="s">
        <v>20</v>
      </c>
      <c r="E8" s="2" t="s">
        <v>21</v>
      </c>
      <c r="F8" s="2" t="s">
        <v>54</v>
      </c>
      <c r="G8" s="2">
        <v>64</v>
      </c>
      <c r="H8" s="2" t="s">
        <v>23</v>
      </c>
      <c r="I8" s="2" t="s">
        <v>24</v>
      </c>
      <c r="J8" s="3">
        <v>44646</v>
      </c>
      <c r="K8" s="2" t="s">
        <v>25</v>
      </c>
      <c r="L8" s="2" t="s">
        <v>34</v>
      </c>
      <c r="M8" s="2">
        <v>26</v>
      </c>
      <c r="N8" s="2">
        <v>114</v>
      </c>
      <c r="O8" s="2">
        <v>3976</v>
      </c>
      <c r="P8" s="2" t="s">
        <v>50</v>
      </c>
      <c r="Q8" s="4">
        <f>Table2[[#This Row],[Room Booked]]*Table2[[#This Row],[Price]]</f>
        <v>103376</v>
      </c>
      <c r="R8" s="4">
        <v>75146.399999999994</v>
      </c>
    </row>
    <row r="9" spans="1:18" x14ac:dyDescent="0.25">
      <c r="A9" s="2">
        <v>2022</v>
      </c>
      <c r="B9" s="2" t="s">
        <v>55</v>
      </c>
      <c r="C9" s="2" t="s">
        <v>29</v>
      </c>
      <c r="D9" s="2" t="s">
        <v>30</v>
      </c>
      <c r="E9" s="2" t="s">
        <v>31</v>
      </c>
      <c r="F9" s="2" t="s">
        <v>56</v>
      </c>
      <c r="G9" s="2">
        <v>22</v>
      </c>
      <c r="H9" s="2" t="s">
        <v>33</v>
      </c>
      <c r="I9" s="2" t="s">
        <v>24</v>
      </c>
      <c r="J9" s="3">
        <v>44782</v>
      </c>
      <c r="K9" s="2" t="s">
        <v>42</v>
      </c>
      <c r="L9" s="2" t="s">
        <v>26</v>
      </c>
      <c r="M9" s="2">
        <v>38</v>
      </c>
      <c r="N9" s="2">
        <v>105</v>
      </c>
      <c r="O9" s="2">
        <v>35248</v>
      </c>
      <c r="P9" s="2" t="s">
        <v>35</v>
      </c>
      <c r="Q9" s="4">
        <f>Table2[[#This Row],[Room Booked]]*Table2[[#This Row],[Price]]</f>
        <v>1339424</v>
      </c>
      <c r="R9" s="4">
        <v>91204.2</v>
      </c>
    </row>
    <row r="10" spans="1:18" x14ac:dyDescent="0.25">
      <c r="A10" s="2">
        <v>2023</v>
      </c>
      <c r="B10" s="2" t="s">
        <v>57</v>
      </c>
      <c r="C10" s="2" t="s">
        <v>37</v>
      </c>
      <c r="D10" s="2" t="s">
        <v>38</v>
      </c>
      <c r="E10" s="2" t="s">
        <v>39</v>
      </c>
      <c r="F10" s="2" t="s">
        <v>58</v>
      </c>
      <c r="G10" s="2">
        <v>49</v>
      </c>
      <c r="H10" s="2" t="s">
        <v>23</v>
      </c>
      <c r="I10" s="2" t="s">
        <v>24</v>
      </c>
      <c r="J10" s="3">
        <v>45062</v>
      </c>
      <c r="K10" s="2" t="s">
        <v>42</v>
      </c>
      <c r="L10" s="2" t="s">
        <v>26</v>
      </c>
      <c r="M10" s="2">
        <v>62</v>
      </c>
      <c r="N10" s="2">
        <v>109</v>
      </c>
      <c r="O10" s="2">
        <v>42008</v>
      </c>
      <c r="P10" s="2" t="s">
        <v>35</v>
      </c>
      <c r="Q10" s="4">
        <f>Table2[[#This Row],[Room Booked]]*Table2[[#This Row],[Price]]</f>
        <v>2604496</v>
      </c>
      <c r="R10" s="4">
        <v>97668.599999999991</v>
      </c>
    </row>
    <row r="11" spans="1:18" x14ac:dyDescent="0.25">
      <c r="A11" s="2">
        <v>2022</v>
      </c>
      <c r="B11" s="2" t="s">
        <v>18</v>
      </c>
      <c r="C11" s="2" t="s">
        <v>59</v>
      </c>
      <c r="D11" s="2" t="s">
        <v>60</v>
      </c>
      <c r="E11" s="2" t="s">
        <v>61</v>
      </c>
      <c r="F11" s="2" t="s">
        <v>62</v>
      </c>
      <c r="G11" s="2">
        <v>46</v>
      </c>
      <c r="H11" s="2" t="s">
        <v>23</v>
      </c>
      <c r="I11" s="2" t="s">
        <v>41</v>
      </c>
      <c r="J11" s="3">
        <v>44576</v>
      </c>
      <c r="K11" s="2" t="s">
        <v>49</v>
      </c>
      <c r="L11" s="2" t="s">
        <v>34</v>
      </c>
      <c r="M11" s="2">
        <v>16</v>
      </c>
      <c r="N11" s="2">
        <v>99</v>
      </c>
      <c r="O11" s="2">
        <v>20104</v>
      </c>
      <c r="P11" s="2" t="s">
        <v>63</v>
      </c>
      <c r="Q11" s="4">
        <f>Table2[[#This Row],[Room Booked]]*Table2[[#This Row],[Price]]</f>
        <v>321664</v>
      </c>
      <c r="R11" s="4">
        <v>104549.4</v>
      </c>
    </row>
    <row r="12" spans="1:18" x14ac:dyDescent="0.25">
      <c r="A12" s="2">
        <v>2022</v>
      </c>
      <c r="B12" s="2" t="s">
        <v>44</v>
      </c>
      <c r="C12" s="2" t="s">
        <v>19</v>
      </c>
      <c r="D12" s="2" t="s">
        <v>20</v>
      </c>
      <c r="E12" s="2" t="s">
        <v>21</v>
      </c>
      <c r="F12" s="2" t="s">
        <v>64</v>
      </c>
      <c r="G12" s="2">
        <v>38</v>
      </c>
      <c r="H12" s="2" t="s">
        <v>23</v>
      </c>
      <c r="I12" s="2" t="s">
        <v>24</v>
      </c>
      <c r="J12" s="3">
        <v>44850</v>
      </c>
      <c r="K12" s="2" t="s">
        <v>65</v>
      </c>
      <c r="L12" s="2" t="s">
        <v>34</v>
      </c>
      <c r="M12" s="2">
        <v>16</v>
      </c>
      <c r="N12" s="2">
        <v>115</v>
      </c>
      <c r="O12" s="2">
        <v>9707</v>
      </c>
      <c r="P12" s="2" t="s">
        <v>63</v>
      </c>
      <c r="Q12" s="4">
        <f>Table2[[#This Row],[Room Booked]]*Table2[[#This Row],[Price]]</f>
        <v>155312</v>
      </c>
      <c r="R12" s="4">
        <v>270825.3</v>
      </c>
    </row>
    <row r="13" spans="1:18" x14ac:dyDescent="0.25">
      <c r="A13" s="2">
        <v>2023</v>
      </c>
      <c r="B13" s="2" t="s">
        <v>51</v>
      </c>
      <c r="C13" s="2" t="s">
        <v>19</v>
      </c>
      <c r="D13" s="2" t="s">
        <v>20</v>
      </c>
      <c r="E13" s="2" t="s">
        <v>21</v>
      </c>
      <c r="F13" s="2" t="s">
        <v>66</v>
      </c>
      <c r="G13" s="2">
        <v>56</v>
      </c>
      <c r="H13" s="2" t="s">
        <v>23</v>
      </c>
      <c r="I13" s="2" t="s">
        <v>24</v>
      </c>
      <c r="J13" s="3">
        <v>45182</v>
      </c>
      <c r="K13" s="2" t="s">
        <v>25</v>
      </c>
      <c r="L13" s="2" t="s">
        <v>34</v>
      </c>
      <c r="M13" s="2">
        <v>24</v>
      </c>
      <c r="N13" s="2">
        <v>80</v>
      </c>
      <c r="O13" s="2">
        <v>340</v>
      </c>
      <c r="P13" s="2" t="s">
        <v>27</v>
      </c>
      <c r="Q13" s="4">
        <f>Table2[[#This Row],[Room Booked]]*Table2[[#This Row],[Price]]</f>
        <v>8160</v>
      </c>
      <c r="R13" s="4">
        <v>6018</v>
      </c>
    </row>
    <row r="14" spans="1:18" x14ac:dyDescent="0.25">
      <c r="A14" s="2">
        <v>2023</v>
      </c>
      <c r="B14" s="2" t="s">
        <v>36</v>
      </c>
      <c r="C14" s="2" t="s">
        <v>29</v>
      </c>
      <c r="D14" s="2" t="s">
        <v>30</v>
      </c>
      <c r="E14" s="2" t="s">
        <v>31</v>
      </c>
      <c r="F14" s="2" t="s">
        <v>67</v>
      </c>
      <c r="G14" s="2">
        <v>35</v>
      </c>
      <c r="H14" s="2" t="s">
        <v>33</v>
      </c>
      <c r="I14" s="2" t="s">
        <v>41</v>
      </c>
      <c r="J14" s="3">
        <v>45095</v>
      </c>
      <c r="K14" s="2" t="s">
        <v>68</v>
      </c>
      <c r="L14" s="2" t="s">
        <v>26</v>
      </c>
      <c r="M14" s="2">
        <v>27</v>
      </c>
      <c r="N14" s="2">
        <v>109</v>
      </c>
      <c r="O14" s="2">
        <v>76704</v>
      </c>
      <c r="P14" s="2" t="s">
        <v>50</v>
      </c>
      <c r="Q14" s="4">
        <f>Table2[[#This Row],[Room Booked]]*Table2[[#This Row],[Price]]</f>
        <v>2071008</v>
      </c>
      <c r="R14" s="4">
        <v>86702.7</v>
      </c>
    </row>
    <row r="15" spans="1:18" x14ac:dyDescent="0.25">
      <c r="A15" s="2">
        <v>2022</v>
      </c>
      <c r="B15" s="2" t="s">
        <v>69</v>
      </c>
      <c r="C15" s="2" t="s">
        <v>70</v>
      </c>
      <c r="D15" s="2" t="s">
        <v>71</v>
      </c>
      <c r="E15" s="2" t="s">
        <v>72</v>
      </c>
      <c r="F15" s="2" t="s">
        <v>73</v>
      </c>
      <c r="G15" s="2">
        <v>56</v>
      </c>
      <c r="H15" s="2" t="s">
        <v>23</v>
      </c>
      <c r="I15" s="2" t="s">
        <v>41</v>
      </c>
      <c r="J15" s="3">
        <v>44892</v>
      </c>
      <c r="K15" s="2" t="s">
        <v>49</v>
      </c>
      <c r="L15" s="2" t="s">
        <v>43</v>
      </c>
      <c r="M15" s="2">
        <v>34</v>
      </c>
      <c r="N15" s="2">
        <v>96</v>
      </c>
      <c r="O15" s="2">
        <v>17304</v>
      </c>
      <c r="P15" s="2" t="s">
        <v>27</v>
      </c>
      <c r="Q15" s="4">
        <f>Table2[[#This Row],[Room Booked]]*Table2[[#This Row],[Price]]</f>
        <v>588336</v>
      </c>
      <c r="R15" s="4">
        <v>17952.899999999998</v>
      </c>
    </row>
    <row r="16" spans="1:18" x14ac:dyDescent="0.25">
      <c r="A16" s="2">
        <v>2023</v>
      </c>
      <c r="B16" s="2" t="s">
        <v>44</v>
      </c>
      <c r="C16" s="2" t="s">
        <v>19</v>
      </c>
      <c r="D16" s="2" t="s">
        <v>20</v>
      </c>
      <c r="E16" s="2" t="s">
        <v>21</v>
      </c>
      <c r="F16" s="2" t="s">
        <v>74</v>
      </c>
      <c r="G16" s="2">
        <v>56</v>
      </c>
      <c r="H16" s="2" t="s">
        <v>23</v>
      </c>
      <c r="I16" s="2" t="s">
        <v>24</v>
      </c>
      <c r="J16" s="3">
        <v>45202</v>
      </c>
      <c r="K16" s="2" t="s">
        <v>49</v>
      </c>
      <c r="L16" s="2" t="s">
        <v>26</v>
      </c>
      <c r="M16" s="2">
        <v>14</v>
      </c>
      <c r="N16" s="2">
        <v>105</v>
      </c>
      <c r="O16" s="2">
        <v>155856</v>
      </c>
      <c r="P16" s="2" t="s">
        <v>27</v>
      </c>
      <c r="Q16" s="4">
        <f>Table2[[#This Row],[Room Booked]]*Table2[[#This Row],[Price]]</f>
        <v>2181984</v>
      </c>
      <c r="R16" s="4">
        <v>64290.6</v>
      </c>
    </row>
    <row r="17" spans="1:18" x14ac:dyDescent="0.25">
      <c r="A17" s="2">
        <v>2022</v>
      </c>
      <c r="B17" s="2" t="s">
        <v>44</v>
      </c>
      <c r="C17" s="2" t="s">
        <v>19</v>
      </c>
      <c r="D17" s="2" t="s">
        <v>20</v>
      </c>
      <c r="E17" s="2" t="s">
        <v>21</v>
      </c>
      <c r="F17" s="2" t="s">
        <v>75</v>
      </c>
      <c r="G17" s="2">
        <v>55</v>
      </c>
      <c r="H17" s="2" t="s">
        <v>23</v>
      </c>
      <c r="I17" s="2" t="s">
        <v>24</v>
      </c>
      <c r="J17" s="3">
        <v>44860</v>
      </c>
      <c r="K17" s="2" t="s">
        <v>65</v>
      </c>
      <c r="L17" s="2" t="s">
        <v>34</v>
      </c>
      <c r="M17" s="2">
        <v>21</v>
      </c>
      <c r="N17" s="2">
        <v>92</v>
      </c>
      <c r="O17" s="2">
        <v>1945</v>
      </c>
      <c r="P17" s="2" t="s">
        <v>50</v>
      </c>
      <c r="Q17" s="4">
        <f>Table2[[#This Row],[Room Booked]]*Table2[[#This Row],[Price]]</f>
        <v>40845</v>
      </c>
      <c r="R17" s="4">
        <v>19255.5</v>
      </c>
    </row>
    <row r="18" spans="1:18" x14ac:dyDescent="0.25">
      <c r="A18" s="2">
        <v>2023</v>
      </c>
      <c r="B18" s="2" t="s">
        <v>76</v>
      </c>
      <c r="C18" s="2" t="s">
        <v>70</v>
      </c>
      <c r="D18" s="2" t="s">
        <v>71</v>
      </c>
      <c r="E18" s="2" t="s">
        <v>72</v>
      </c>
      <c r="F18" s="2" t="s">
        <v>77</v>
      </c>
      <c r="G18" s="2">
        <v>19</v>
      </c>
      <c r="H18" s="2" t="s">
        <v>23</v>
      </c>
      <c r="I18" s="2" t="s">
        <v>24</v>
      </c>
      <c r="J18" s="3">
        <v>45138</v>
      </c>
      <c r="K18" s="2" t="s">
        <v>42</v>
      </c>
      <c r="L18" s="2" t="s">
        <v>43</v>
      </c>
      <c r="M18" s="2">
        <v>16</v>
      </c>
      <c r="N18" s="2">
        <v>110</v>
      </c>
      <c r="O18" s="2">
        <v>75528</v>
      </c>
      <c r="P18" s="2" t="s">
        <v>63</v>
      </c>
      <c r="Q18" s="4">
        <f>Table2[[#This Row],[Room Booked]]*Table2[[#This Row],[Price]]</f>
        <v>1208448</v>
      </c>
      <c r="R18" s="4">
        <v>107627.4</v>
      </c>
    </row>
    <row r="19" spans="1:18" x14ac:dyDescent="0.25">
      <c r="A19" s="2">
        <v>2022</v>
      </c>
      <c r="B19" s="2" t="s">
        <v>51</v>
      </c>
      <c r="C19" s="2" t="s">
        <v>59</v>
      </c>
      <c r="D19" s="2" t="s">
        <v>60</v>
      </c>
      <c r="E19" s="2" t="s">
        <v>61</v>
      </c>
      <c r="F19" s="2" t="s">
        <v>78</v>
      </c>
      <c r="G19" s="2">
        <v>58</v>
      </c>
      <c r="H19" s="2" t="s">
        <v>23</v>
      </c>
      <c r="I19" s="2" t="s">
        <v>24</v>
      </c>
      <c r="J19" s="3">
        <v>44811</v>
      </c>
      <c r="K19" s="2" t="s">
        <v>65</v>
      </c>
      <c r="L19" s="2" t="s">
        <v>34</v>
      </c>
      <c r="M19" s="2">
        <v>16</v>
      </c>
      <c r="N19" s="2">
        <v>119</v>
      </c>
      <c r="O19" s="2">
        <v>1683</v>
      </c>
      <c r="P19" s="2" t="s">
        <v>63</v>
      </c>
      <c r="Q19" s="4">
        <f>Table2[[#This Row],[Room Booked]]*Table2[[#This Row],[Price]]</f>
        <v>26928</v>
      </c>
      <c r="R19" s="4">
        <v>19691.099999999999</v>
      </c>
    </row>
    <row r="20" spans="1:18" x14ac:dyDescent="0.25">
      <c r="A20" s="2">
        <v>2022</v>
      </c>
      <c r="B20" s="2" t="s">
        <v>28</v>
      </c>
      <c r="C20" s="2" t="s">
        <v>70</v>
      </c>
      <c r="D20" s="2" t="s">
        <v>71</v>
      </c>
      <c r="E20" s="2" t="s">
        <v>72</v>
      </c>
      <c r="F20" s="2" t="s">
        <v>79</v>
      </c>
      <c r="G20" s="2">
        <v>42</v>
      </c>
      <c r="H20" s="2" t="s">
        <v>33</v>
      </c>
      <c r="I20" s="2" t="s">
        <v>24</v>
      </c>
      <c r="J20" s="3">
        <v>44665</v>
      </c>
      <c r="K20" s="2" t="s">
        <v>80</v>
      </c>
      <c r="L20" s="2" t="s">
        <v>26</v>
      </c>
      <c r="M20" s="2">
        <v>1</v>
      </c>
      <c r="N20" s="2">
        <v>83</v>
      </c>
      <c r="O20" s="2">
        <v>59136</v>
      </c>
      <c r="P20" s="2" t="s">
        <v>50</v>
      </c>
      <c r="Q20" s="4">
        <f>Table2[[#This Row],[Room Booked]]*Table2[[#This Row],[Price]]</f>
        <v>59136</v>
      </c>
      <c r="R20" s="4">
        <v>1108.8</v>
      </c>
    </row>
    <row r="21" spans="1:18" x14ac:dyDescent="0.25">
      <c r="A21" s="2">
        <v>2023</v>
      </c>
      <c r="B21" s="2" t="s">
        <v>47</v>
      </c>
      <c r="C21" s="2" t="s">
        <v>37</v>
      </c>
      <c r="D21" s="2" t="s">
        <v>38</v>
      </c>
      <c r="E21" s="2" t="s">
        <v>39</v>
      </c>
      <c r="F21" s="2" t="s">
        <v>81</v>
      </c>
      <c r="G21" s="2">
        <v>56</v>
      </c>
      <c r="H21" s="2" t="s">
        <v>23</v>
      </c>
      <c r="I21" s="2" t="s">
        <v>24</v>
      </c>
      <c r="J21" s="3">
        <v>45262</v>
      </c>
      <c r="K21" s="2" t="s">
        <v>46</v>
      </c>
      <c r="L21" s="2" t="s">
        <v>43</v>
      </c>
      <c r="M21" s="2">
        <v>38</v>
      </c>
      <c r="N21" s="2">
        <v>113</v>
      </c>
      <c r="O21" s="2">
        <v>5517</v>
      </c>
      <c r="P21" s="2" t="s">
        <v>63</v>
      </c>
      <c r="Q21" s="4">
        <f>Table2[[#This Row],[Room Booked]]*Table2[[#This Row],[Price]]</f>
        <v>209646</v>
      </c>
      <c r="R21" s="4">
        <v>122477.4</v>
      </c>
    </row>
    <row r="22" spans="1:18" x14ac:dyDescent="0.25">
      <c r="A22" s="2">
        <v>2023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82</v>
      </c>
      <c r="G22" s="2">
        <v>56</v>
      </c>
      <c r="H22" s="2" t="s">
        <v>33</v>
      </c>
      <c r="I22" s="2" t="s">
        <v>24</v>
      </c>
      <c r="J22" s="3">
        <v>44951</v>
      </c>
      <c r="K22" s="2" t="s">
        <v>25</v>
      </c>
      <c r="L22" s="2" t="s">
        <v>43</v>
      </c>
      <c r="M22" s="2">
        <v>8</v>
      </c>
      <c r="N22" s="2">
        <v>98</v>
      </c>
      <c r="O22" s="2">
        <v>3137</v>
      </c>
      <c r="P22" s="2" t="s">
        <v>27</v>
      </c>
      <c r="Q22" s="4">
        <f>Table2[[#This Row],[Room Booked]]*Table2[[#This Row],[Price]]</f>
        <v>25096</v>
      </c>
      <c r="R22" s="4">
        <v>82816.800000000003</v>
      </c>
    </row>
    <row r="23" spans="1:18" x14ac:dyDescent="0.25">
      <c r="A23" s="2">
        <v>2023</v>
      </c>
      <c r="B23" s="2" t="s">
        <v>76</v>
      </c>
      <c r="C23" s="2" t="s">
        <v>70</v>
      </c>
      <c r="D23" s="2" t="s">
        <v>71</v>
      </c>
      <c r="E23" s="2" t="s">
        <v>72</v>
      </c>
      <c r="F23" s="2" t="s">
        <v>83</v>
      </c>
      <c r="G23" s="2">
        <v>71</v>
      </c>
      <c r="H23" s="2" t="s">
        <v>33</v>
      </c>
      <c r="I23" s="2" t="s">
        <v>24</v>
      </c>
      <c r="J23" s="3">
        <v>45114</v>
      </c>
      <c r="K23" s="2" t="s">
        <v>49</v>
      </c>
      <c r="L23" s="2" t="s">
        <v>43</v>
      </c>
      <c r="M23" s="2">
        <v>3</v>
      </c>
      <c r="N23" s="2">
        <v>89</v>
      </c>
      <c r="O23" s="2">
        <v>93488</v>
      </c>
      <c r="P23" s="2" t="s">
        <v>27</v>
      </c>
      <c r="Q23" s="4">
        <f>Table2[[#This Row],[Room Booked]]*Table2[[#This Row],[Price]]</f>
        <v>280464</v>
      </c>
      <c r="R23" s="4">
        <v>16930.2</v>
      </c>
    </row>
    <row r="24" spans="1:18" x14ac:dyDescent="0.25">
      <c r="A24" s="2">
        <v>2022</v>
      </c>
      <c r="B24" s="2" t="s">
        <v>18</v>
      </c>
      <c r="C24" s="2" t="s">
        <v>70</v>
      </c>
      <c r="D24" s="2" t="s">
        <v>71</v>
      </c>
      <c r="E24" s="2" t="s">
        <v>72</v>
      </c>
      <c r="F24" s="2" t="s">
        <v>84</v>
      </c>
      <c r="G24" s="2">
        <v>21</v>
      </c>
      <c r="H24" s="2" t="s">
        <v>23</v>
      </c>
      <c r="I24" s="2" t="s">
        <v>24</v>
      </c>
      <c r="J24" s="3">
        <v>44586</v>
      </c>
      <c r="K24" s="2" t="s">
        <v>49</v>
      </c>
      <c r="L24" s="2" t="s">
        <v>26</v>
      </c>
      <c r="M24" s="2">
        <v>38</v>
      </c>
      <c r="N24" s="2">
        <v>92</v>
      </c>
      <c r="O24" s="2">
        <v>6456</v>
      </c>
      <c r="P24" s="2" t="s">
        <v>50</v>
      </c>
      <c r="Q24" s="4">
        <f>Table2[[#This Row],[Room Booked]]*Table2[[#This Row],[Price]]</f>
        <v>245328</v>
      </c>
      <c r="R24" s="4">
        <v>216755.1</v>
      </c>
    </row>
    <row r="25" spans="1:18" x14ac:dyDescent="0.25">
      <c r="A25" s="2">
        <v>2023</v>
      </c>
      <c r="B25" s="2" t="s">
        <v>69</v>
      </c>
      <c r="C25" s="2" t="s">
        <v>37</v>
      </c>
      <c r="D25" s="2" t="s">
        <v>38</v>
      </c>
      <c r="E25" s="2" t="s">
        <v>39</v>
      </c>
      <c r="F25" s="2" t="s">
        <v>85</v>
      </c>
      <c r="G25" s="2">
        <v>31</v>
      </c>
      <c r="H25" s="2" t="s">
        <v>33</v>
      </c>
      <c r="I25" s="2" t="s">
        <v>24</v>
      </c>
      <c r="J25" s="3">
        <v>45249</v>
      </c>
      <c r="K25" s="2" t="s">
        <v>46</v>
      </c>
      <c r="L25" s="2" t="s">
        <v>26</v>
      </c>
      <c r="M25" s="2">
        <v>44</v>
      </c>
      <c r="N25" s="2">
        <v>121</v>
      </c>
      <c r="O25" s="2">
        <v>8790</v>
      </c>
      <c r="P25" s="2" t="s">
        <v>35</v>
      </c>
      <c r="Q25" s="4">
        <f>Table2[[#This Row],[Room Booked]]*Table2[[#This Row],[Price]]</f>
        <v>386760</v>
      </c>
      <c r="R25" s="4">
        <v>152946</v>
      </c>
    </row>
    <row r="26" spans="1:18" x14ac:dyDescent="0.25">
      <c r="A26" s="2">
        <v>2022</v>
      </c>
      <c r="B26" s="2" t="s">
        <v>69</v>
      </c>
      <c r="C26" s="2" t="s">
        <v>19</v>
      </c>
      <c r="D26" s="2" t="s">
        <v>20</v>
      </c>
      <c r="E26" s="2" t="s">
        <v>21</v>
      </c>
      <c r="F26" s="2" t="s">
        <v>86</v>
      </c>
      <c r="G26" s="2">
        <v>29</v>
      </c>
      <c r="H26" s="2" t="s">
        <v>23</v>
      </c>
      <c r="I26" s="2" t="s">
        <v>24</v>
      </c>
      <c r="J26" s="3">
        <v>44885</v>
      </c>
      <c r="K26" s="2" t="s">
        <v>46</v>
      </c>
      <c r="L26" s="2" t="s">
        <v>43</v>
      </c>
      <c r="M26" s="2">
        <v>7</v>
      </c>
      <c r="N26" s="2">
        <v>111</v>
      </c>
      <c r="O26" s="2">
        <v>9488</v>
      </c>
      <c r="P26" s="2" t="s">
        <v>27</v>
      </c>
      <c r="Q26" s="4">
        <f>Table2[[#This Row],[Room Booked]]*Table2[[#This Row],[Price]]</f>
        <v>66416</v>
      </c>
      <c r="R26" s="4">
        <v>19924.8</v>
      </c>
    </row>
    <row r="27" spans="1:18" x14ac:dyDescent="0.25">
      <c r="A27" s="2">
        <v>2023</v>
      </c>
      <c r="B27" s="2" t="s">
        <v>57</v>
      </c>
      <c r="C27" s="2" t="s">
        <v>87</v>
      </c>
      <c r="D27" s="2" t="s">
        <v>71</v>
      </c>
      <c r="E27" s="2" t="s">
        <v>72</v>
      </c>
      <c r="F27" s="2" t="s">
        <v>88</v>
      </c>
      <c r="G27" s="2">
        <v>69</v>
      </c>
      <c r="H27" s="2" t="s">
        <v>23</v>
      </c>
      <c r="I27" s="2" t="s">
        <v>24</v>
      </c>
      <c r="J27" s="3">
        <v>45068</v>
      </c>
      <c r="K27" s="2" t="s">
        <v>65</v>
      </c>
      <c r="L27" s="2" t="s">
        <v>26</v>
      </c>
      <c r="M27" s="2">
        <v>21</v>
      </c>
      <c r="N27" s="2">
        <v>108</v>
      </c>
      <c r="O27" s="2">
        <v>5691</v>
      </c>
      <c r="P27" s="2" t="s">
        <v>27</v>
      </c>
      <c r="Q27" s="4">
        <f>Table2[[#This Row],[Room Booked]]*Table2[[#This Row],[Price]]</f>
        <v>119511</v>
      </c>
      <c r="R27" s="4">
        <v>88779.599999999991</v>
      </c>
    </row>
    <row r="28" spans="1:18" x14ac:dyDescent="0.25">
      <c r="A28" s="2">
        <v>2023</v>
      </c>
      <c r="B28" s="2" t="s">
        <v>51</v>
      </c>
      <c r="C28" s="2" t="s">
        <v>19</v>
      </c>
      <c r="D28" s="2" t="s">
        <v>20</v>
      </c>
      <c r="E28" s="2" t="s">
        <v>21</v>
      </c>
      <c r="F28" s="2" t="s">
        <v>89</v>
      </c>
      <c r="G28" s="2">
        <v>58</v>
      </c>
      <c r="H28" s="2" t="s">
        <v>23</v>
      </c>
      <c r="I28" s="2" t="s">
        <v>24</v>
      </c>
      <c r="J28" s="3">
        <v>45190</v>
      </c>
      <c r="K28" s="2" t="s">
        <v>25</v>
      </c>
      <c r="L28" s="2" t="s">
        <v>34</v>
      </c>
      <c r="M28" s="2">
        <v>16</v>
      </c>
      <c r="N28" s="2">
        <v>99</v>
      </c>
      <c r="O28" s="2">
        <v>9224</v>
      </c>
      <c r="P28" s="2" t="s">
        <v>27</v>
      </c>
      <c r="Q28" s="4">
        <f>Table2[[#This Row],[Room Booked]]*Table2[[#This Row],[Price]]</f>
        <v>147584</v>
      </c>
      <c r="R28" s="4">
        <v>132825.60000000001</v>
      </c>
    </row>
    <row r="29" spans="1:18" x14ac:dyDescent="0.25">
      <c r="A29" s="2">
        <v>2023</v>
      </c>
      <c r="B29" s="2" t="s">
        <v>57</v>
      </c>
      <c r="C29" s="2" t="s">
        <v>59</v>
      </c>
      <c r="D29" s="2" t="s">
        <v>20</v>
      </c>
      <c r="E29" s="2" t="s">
        <v>21</v>
      </c>
      <c r="F29" s="2" t="s">
        <v>90</v>
      </c>
      <c r="G29" s="2">
        <v>56</v>
      </c>
      <c r="H29" s="2" t="s">
        <v>23</v>
      </c>
      <c r="I29" s="2" t="s">
        <v>41</v>
      </c>
      <c r="J29" s="3">
        <v>45074</v>
      </c>
      <c r="K29" s="2" t="s">
        <v>42</v>
      </c>
      <c r="L29" s="2" t="s">
        <v>43</v>
      </c>
      <c r="M29" s="2">
        <v>2</v>
      </c>
      <c r="N29" s="2">
        <v>80</v>
      </c>
      <c r="O29" s="2">
        <v>51720</v>
      </c>
      <c r="P29" s="2" t="s">
        <v>27</v>
      </c>
      <c r="Q29" s="4">
        <f>Table2[[#This Row],[Room Booked]]*Table2[[#This Row],[Price]]</f>
        <v>103440</v>
      </c>
      <c r="R29" s="4">
        <v>9697.5</v>
      </c>
    </row>
    <row r="30" spans="1:18" x14ac:dyDescent="0.25">
      <c r="A30" s="2">
        <v>2022</v>
      </c>
      <c r="B30" s="2" t="s">
        <v>53</v>
      </c>
      <c r="C30" s="2" t="s">
        <v>91</v>
      </c>
      <c r="D30" s="2" t="s">
        <v>92</v>
      </c>
      <c r="E30" s="2" t="s">
        <v>93</v>
      </c>
      <c r="F30" s="2" t="s">
        <v>22</v>
      </c>
      <c r="G30" s="2">
        <v>57</v>
      </c>
      <c r="H30" s="2" t="s">
        <v>23</v>
      </c>
      <c r="I30" s="2" t="s">
        <v>41</v>
      </c>
      <c r="J30" s="3">
        <v>44622</v>
      </c>
      <c r="K30" s="2" t="s">
        <v>46</v>
      </c>
      <c r="L30" s="2" t="s">
        <v>34</v>
      </c>
      <c r="M30" s="2">
        <v>14</v>
      </c>
      <c r="N30" s="2">
        <v>109</v>
      </c>
      <c r="O30" s="2">
        <v>4524</v>
      </c>
      <c r="P30" s="2" t="s">
        <v>27</v>
      </c>
      <c r="Q30" s="4">
        <f>Table2[[#This Row],[Room Booked]]*Table2[[#This Row],[Price]]</f>
        <v>63336</v>
      </c>
      <c r="R30" s="4">
        <v>44787.6</v>
      </c>
    </row>
    <row r="31" spans="1:18" x14ac:dyDescent="0.25">
      <c r="A31" s="2">
        <v>2022</v>
      </c>
      <c r="B31" s="2" t="s">
        <v>53</v>
      </c>
      <c r="C31" s="2" t="s">
        <v>91</v>
      </c>
      <c r="D31" s="2" t="s">
        <v>92</v>
      </c>
      <c r="E31" s="2" t="s">
        <v>93</v>
      </c>
      <c r="F31" s="2" t="s">
        <v>32</v>
      </c>
      <c r="G31" s="2">
        <v>57</v>
      </c>
      <c r="H31" s="2" t="s">
        <v>33</v>
      </c>
      <c r="I31" s="2" t="s">
        <v>41</v>
      </c>
      <c r="J31" s="3">
        <v>44624</v>
      </c>
      <c r="K31" s="2" t="s">
        <v>65</v>
      </c>
      <c r="L31" s="2" t="s">
        <v>43</v>
      </c>
      <c r="M31" s="2">
        <v>39</v>
      </c>
      <c r="N31" s="2">
        <v>82</v>
      </c>
      <c r="O31" s="2">
        <v>2691</v>
      </c>
      <c r="P31" s="2" t="s">
        <v>63</v>
      </c>
      <c r="Q31" s="4">
        <f>Table2[[#This Row],[Room Booked]]*Table2[[#This Row],[Price]]</f>
        <v>104949</v>
      </c>
      <c r="R31" s="4">
        <v>78308.099999999991</v>
      </c>
    </row>
    <row r="32" spans="1:18" x14ac:dyDescent="0.25">
      <c r="A32" s="2">
        <v>2023</v>
      </c>
      <c r="B32" s="2" t="s">
        <v>51</v>
      </c>
      <c r="C32" s="2" t="s">
        <v>29</v>
      </c>
      <c r="D32" s="2" t="s">
        <v>20</v>
      </c>
      <c r="E32" s="2" t="s">
        <v>21</v>
      </c>
      <c r="F32" s="2" t="s">
        <v>40</v>
      </c>
      <c r="G32" s="2">
        <v>60</v>
      </c>
      <c r="H32" s="2" t="s">
        <v>33</v>
      </c>
      <c r="I32" s="2" t="s">
        <v>24</v>
      </c>
      <c r="J32" s="3">
        <v>45171</v>
      </c>
      <c r="K32" s="2" t="s">
        <v>49</v>
      </c>
      <c r="L32" s="2" t="s">
        <v>34</v>
      </c>
      <c r="M32" s="2">
        <v>43</v>
      </c>
      <c r="N32" s="2">
        <v>104</v>
      </c>
      <c r="O32" s="2">
        <v>93888</v>
      </c>
      <c r="P32" s="2" t="s">
        <v>63</v>
      </c>
      <c r="Q32" s="4">
        <f>Table2[[#This Row],[Room Booked]]*Table2[[#This Row],[Price]]</f>
        <v>4037184</v>
      </c>
      <c r="R32" s="4">
        <v>96235.199999999997</v>
      </c>
    </row>
    <row r="33" spans="1:18" x14ac:dyDescent="0.25">
      <c r="A33" s="2">
        <v>2023</v>
      </c>
      <c r="B33" s="2" t="s">
        <v>69</v>
      </c>
      <c r="C33" s="2" t="s">
        <v>37</v>
      </c>
      <c r="D33" s="2" t="s">
        <v>38</v>
      </c>
      <c r="E33" s="2" t="s">
        <v>39</v>
      </c>
      <c r="F33" s="2" t="s">
        <v>45</v>
      </c>
      <c r="G33" s="2">
        <v>28</v>
      </c>
      <c r="H33" s="2" t="s">
        <v>23</v>
      </c>
      <c r="I33" s="2" t="s">
        <v>24</v>
      </c>
      <c r="J33" s="3">
        <v>45243</v>
      </c>
      <c r="K33" s="2" t="s">
        <v>46</v>
      </c>
      <c r="L33" s="2" t="s">
        <v>43</v>
      </c>
      <c r="M33" s="2">
        <v>27</v>
      </c>
      <c r="N33" s="2">
        <v>118</v>
      </c>
      <c r="O33" s="2">
        <v>6681</v>
      </c>
      <c r="P33" s="2" t="s">
        <v>50</v>
      </c>
      <c r="Q33" s="4">
        <f>Table2[[#This Row],[Room Booked]]*Table2[[#This Row],[Price]]</f>
        <v>180387</v>
      </c>
      <c r="R33" s="4">
        <v>132283.79999999999</v>
      </c>
    </row>
    <row r="34" spans="1:18" x14ac:dyDescent="0.25">
      <c r="A34" s="2">
        <v>2023</v>
      </c>
      <c r="B34" s="2" t="s">
        <v>47</v>
      </c>
      <c r="C34" s="2" t="s">
        <v>37</v>
      </c>
      <c r="D34" s="2" t="s">
        <v>38</v>
      </c>
      <c r="E34" s="2" t="s">
        <v>39</v>
      </c>
      <c r="F34" s="2" t="s">
        <v>48</v>
      </c>
      <c r="G34" s="2">
        <v>38</v>
      </c>
      <c r="H34" s="2" t="s">
        <v>23</v>
      </c>
      <c r="I34" s="2" t="s">
        <v>24</v>
      </c>
      <c r="J34" s="3">
        <v>45291</v>
      </c>
      <c r="K34" s="2" t="s">
        <v>42</v>
      </c>
      <c r="L34" s="2" t="s">
        <v>43</v>
      </c>
      <c r="M34" s="2">
        <v>16</v>
      </c>
      <c r="N34" s="2">
        <v>104</v>
      </c>
      <c r="O34" s="2">
        <v>33680</v>
      </c>
      <c r="P34" s="2" t="s">
        <v>35</v>
      </c>
      <c r="Q34" s="4">
        <f>Table2[[#This Row],[Room Booked]]*Table2[[#This Row],[Price]]</f>
        <v>538880</v>
      </c>
      <c r="R34" s="4">
        <v>71991</v>
      </c>
    </row>
    <row r="35" spans="1:18" x14ac:dyDescent="0.25">
      <c r="A35" s="2">
        <v>2022</v>
      </c>
      <c r="B35" s="2" t="s">
        <v>55</v>
      </c>
      <c r="C35" s="2" t="s">
        <v>94</v>
      </c>
      <c r="D35" s="2" t="s">
        <v>20</v>
      </c>
      <c r="E35" s="2" t="s">
        <v>21</v>
      </c>
      <c r="F35" s="2" t="s">
        <v>52</v>
      </c>
      <c r="G35" s="2">
        <v>56</v>
      </c>
      <c r="H35" s="2" t="s">
        <v>33</v>
      </c>
      <c r="I35" s="2" t="s">
        <v>24</v>
      </c>
      <c r="J35" s="3">
        <v>44786</v>
      </c>
      <c r="K35" s="2" t="s">
        <v>65</v>
      </c>
      <c r="L35" s="2" t="s">
        <v>34</v>
      </c>
      <c r="M35" s="2">
        <v>20</v>
      </c>
      <c r="N35" s="2">
        <v>93</v>
      </c>
      <c r="O35" s="2">
        <v>2344</v>
      </c>
      <c r="P35" s="2" t="s">
        <v>27</v>
      </c>
      <c r="Q35" s="4">
        <f>Table2[[#This Row],[Room Booked]]*Table2[[#This Row],[Price]]</f>
        <v>46880</v>
      </c>
      <c r="R35" s="4">
        <v>44301.599999999999</v>
      </c>
    </row>
    <row r="36" spans="1:18" x14ac:dyDescent="0.25">
      <c r="A36" s="2">
        <v>2022</v>
      </c>
      <c r="B36" s="2" t="s">
        <v>18</v>
      </c>
      <c r="C36" s="2" t="s">
        <v>37</v>
      </c>
      <c r="D36" s="2" t="s">
        <v>38</v>
      </c>
      <c r="E36" s="2" t="s">
        <v>39</v>
      </c>
      <c r="F36" s="2" t="s">
        <v>54</v>
      </c>
      <c r="G36" s="2">
        <v>68</v>
      </c>
      <c r="H36" s="2" t="s">
        <v>33</v>
      </c>
      <c r="I36" s="2" t="s">
        <v>24</v>
      </c>
      <c r="J36" s="3">
        <v>44584</v>
      </c>
      <c r="K36" s="2" t="s">
        <v>80</v>
      </c>
      <c r="L36" s="2" t="s">
        <v>43</v>
      </c>
      <c r="M36" s="2">
        <v>76</v>
      </c>
      <c r="N36" s="2">
        <v>110</v>
      </c>
      <c r="O36" s="2">
        <v>161408</v>
      </c>
      <c r="P36" s="2" t="s">
        <v>27</v>
      </c>
      <c r="Q36" s="4">
        <f>Table2[[#This Row],[Room Booked]]*Table2[[#This Row],[Price]]</f>
        <v>12267008</v>
      </c>
      <c r="R36" s="4">
        <v>43882.799999999996</v>
      </c>
    </row>
    <row r="37" spans="1:18" x14ac:dyDescent="0.25">
      <c r="A37" s="2">
        <v>2023</v>
      </c>
      <c r="B37" s="2" t="s">
        <v>53</v>
      </c>
      <c r="C37" s="2" t="s">
        <v>37</v>
      </c>
      <c r="D37" s="2" t="s">
        <v>38</v>
      </c>
      <c r="E37" s="2" t="s">
        <v>39</v>
      </c>
      <c r="F37" s="2" t="s">
        <v>56</v>
      </c>
      <c r="G37" s="2">
        <v>50</v>
      </c>
      <c r="H37" s="2" t="s">
        <v>33</v>
      </c>
      <c r="I37" s="2" t="s">
        <v>24</v>
      </c>
      <c r="J37" s="3">
        <v>44989</v>
      </c>
      <c r="K37" s="2" t="s">
        <v>49</v>
      </c>
      <c r="L37" s="2" t="s">
        <v>43</v>
      </c>
      <c r="M37" s="2">
        <v>20</v>
      </c>
      <c r="N37" s="2">
        <v>81</v>
      </c>
      <c r="O37" s="2">
        <v>114744</v>
      </c>
      <c r="P37" s="2" t="s">
        <v>27</v>
      </c>
      <c r="Q37" s="4">
        <f>Table2[[#This Row],[Room Booked]]*Table2[[#This Row],[Price]]</f>
        <v>2294880</v>
      </c>
      <c r="R37" s="4">
        <v>58806.299999999996</v>
      </c>
    </row>
    <row r="38" spans="1:18" x14ac:dyDescent="0.25">
      <c r="A38" s="2">
        <v>2022</v>
      </c>
      <c r="B38" s="2" t="s">
        <v>47</v>
      </c>
      <c r="C38" s="2" t="s">
        <v>37</v>
      </c>
      <c r="D38" s="2" t="s">
        <v>38</v>
      </c>
      <c r="E38" s="2" t="s">
        <v>39</v>
      </c>
      <c r="F38" s="2" t="s">
        <v>58</v>
      </c>
      <c r="G38" s="2">
        <v>46</v>
      </c>
      <c r="H38" s="2" t="s">
        <v>23</v>
      </c>
      <c r="I38" s="2" t="s">
        <v>24</v>
      </c>
      <c r="J38" s="3">
        <v>44906</v>
      </c>
      <c r="K38" s="2" t="s">
        <v>65</v>
      </c>
      <c r="L38" s="2" t="s">
        <v>43</v>
      </c>
      <c r="M38" s="2">
        <v>32</v>
      </c>
      <c r="N38" s="2">
        <v>101</v>
      </c>
      <c r="O38" s="2">
        <v>7104</v>
      </c>
      <c r="P38" s="2" t="s">
        <v>35</v>
      </c>
      <c r="Q38" s="4">
        <f>Table2[[#This Row],[Room Booked]]*Table2[[#This Row],[Price]]</f>
        <v>227328</v>
      </c>
      <c r="R38" s="4">
        <v>166233.60000000001</v>
      </c>
    </row>
    <row r="39" spans="1:18" x14ac:dyDescent="0.25">
      <c r="A39" s="2">
        <v>2022</v>
      </c>
      <c r="B39" s="2" t="s">
        <v>36</v>
      </c>
      <c r="C39" s="2" t="s">
        <v>87</v>
      </c>
      <c r="D39" s="2" t="s">
        <v>71</v>
      </c>
      <c r="E39" s="2" t="s">
        <v>72</v>
      </c>
      <c r="F39" s="2" t="s">
        <v>62</v>
      </c>
      <c r="G39" s="2">
        <v>47</v>
      </c>
      <c r="H39" s="2" t="s">
        <v>33</v>
      </c>
      <c r="I39" s="2" t="s">
        <v>24</v>
      </c>
      <c r="J39" s="3">
        <v>44727</v>
      </c>
      <c r="K39" s="2" t="s">
        <v>25</v>
      </c>
      <c r="L39" s="2" t="s">
        <v>26</v>
      </c>
      <c r="M39" s="2">
        <v>15</v>
      </c>
      <c r="N39" s="2">
        <v>120</v>
      </c>
      <c r="O39" s="2">
        <v>5655</v>
      </c>
      <c r="P39" s="2" t="s">
        <v>63</v>
      </c>
      <c r="Q39" s="4">
        <f>Table2[[#This Row],[Room Booked]]*Table2[[#This Row],[Price]]</f>
        <v>84825</v>
      </c>
      <c r="R39" s="4">
        <v>62770.5</v>
      </c>
    </row>
    <row r="40" spans="1:18" x14ac:dyDescent="0.25">
      <c r="A40" s="2">
        <v>2023</v>
      </c>
      <c r="B40" s="2" t="s">
        <v>55</v>
      </c>
      <c r="C40" s="2" t="s">
        <v>91</v>
      </c>
      <c r="D40" s="2" t="s">
        <v>20</v>
      </c>
      <c r="E40" s="2" t="s">
        <v>21</v>
      </c>
      <c r="F40" s="2" t="s">
        <v>64</v>
      </c>
      <c r="G40" s="2">
        <v>26</v>
      </c>
      <c r="H40" s="2" t="s">
        <v>33</v>
      </c>
      <c r="I40" s="2" t="s">
        <v>24</v>
      </c>
      <c r="J40" s="3">
        <v>45148</v>
      </c>
      <c r="K40" s="2" t="s">
        <v>25</v>
      </c>
      <c r="L40" s="2" t="s">
        <v>26</v>
      </c>
      <c r="M40" s="2">
        <v>7</v>
      </c>
      <c r="N40" s="2">
        <v>119</v>
      </c>
      <c r="O40" s="2">
        <v>7802</v>
      </c>
      <c r="P40" s="2" t="s">
        <v>27</v>
      </c>
      <c r="Q40" s="4">
        <f>Table2[[#This Row],[Room Booked]]*Table2[[#This Row],[Price]]</f>
        <v>54614</v>
      </c>
      <c r="R40" s="4">
        <v>16384.2</v>
      </c>
    </row>
    <row r="41" spans="1:18" x14ac:dyDescent="0.25">
      <c r="A41" s="2">
        <v>2023</v>
      </c>
      <c r="B41" s="2" t="s">
        <v>28</v>
      </c>
      <c r="C41" s="2" t="s">
        <v>87</v>
      </c>
      <c r="D41" s="2" t="s">
        <v>71</v>
      </c>
      <c r="E41" s="2" t="s">
        <v>72</v>
      </c>
      <c r="F41" s="2" t="s">
        <v>66</v>
      </c>
      <c r="G41" s="2">
        <v>55</v>
      </c>
      <c r="H41" s="2" t="s">
        <v>33</v>
      </c>
      <c r="I41" s="2" t="s">
        <v>24</v>
      </c>
      <c r="J41" s="3">
        <v>45041</v>
      </c>
      <c r="K41" s="2" t="s">
        <v>80</v>
      </c>
      <c r="L41" s="2" t="s">
        <v>26</v>
      </c>
      <c r="M41" s="2">
        <v>7</v>
      </c>
      <c r="N41" s="2">
        <v>84</v>
      </c>
      <c r="O41" s="2">
        <v>19840</v>
      </c>
      <c r="P41" s="2" t="s">
        <v>63</v>
      </c>
      <c r="Q41" s="4">
        <f>Table2[[#This Row],[Room Booked]]*Table2[[#This Row],[Price]]</f>
        <v>138880</v>
      </c>
      <c r="R41" s="4">
        <v>2976</v>
      </c>
    </row>
    <row r="42" spans="1:18" x14ac:dyDescent="0.25">
      <c r="A42" s="2">
        <v>2023</v>
      </c>
      <c r="B42" s="2" t="s">
        <v>36</v>
      </c>
      <c r="C42" s="2" t="s">
        <v>87</v>
      </c>
      <c r="D42" s="2" t="s">
        <v>71</v>
      </c>
      <c r="E42" s="2" t="s">
        <v>72</v>
      </c>
      <c r="F42" s="2" t="s">
        <v>67</v>
      </c>
      <c r="G42" s="2">
        <v>57</v>
      </c>
      <c r="H42" s="2" t="s">
        <v>23</v>
      </c>
      <c r="I42" s="2" t="s">
        <v>24</v>
      </c>
      <c r="J42" s="3">
        <v>45088</v>
      </c>
      <c r="K42" s="2" t="s">
        <v>68</v>
      </c>
      <c r="L42" s="2" t="s">
        <v>43</v>
      </c>
      <c r="M42" s="2">
        <v>40</v>
      </c>
      <c r="N42" s="2">
        <v>97</v>
      </c>
      <c r="O42" s="2">
        <v>50560</v>
      </c>
      <c r="P42" s="2" t="s">
        <v>63</v>
      </c>
      <c r="Q42" s="4">
        <f>Table2[[#This Row],[Room Booked]]*Table2[[#This Row],[Price]]</f>
        <v>2022400</v>
      </c>
      <c r="R42" s="4">
        <v>77517</v>
      </c>
    </row>
    <row r="43" spans="1:18" x14ac:dyDescent="0.25">
      <c r="A43" s="2">
        <v>2022</v>
      </c>
      <c r="B43" s="2" t="s">
        <v>36</v>
      </c>
      <c r="C43" s="2" t="s">
        <v>37</v>
      </c>
      <c r="D43" s="2" t="s">
        <v>38</v>
      </c>
      <c r="E43" s="2" t="s">
        <v>39</v>
      </c>
      <c r="F43" s="2" t="s">
        <v>73</v>
      </c>
      <c r="G43" s="2">
        <v>69</v>
      </c>
      <c r="H43" s="2" t="s">
        <v>23</v>
      </c>
      <c r="I43" s="2" t="s">
        <v>24</v>
      </c>
      <c r="J43" s="3">
        <v>44715</v>
      </c>
      <c r="K43" s="2" t="s">
        <v>65</v>
      </c>
      <c r="L43" s="2" t="s">
        <v>43</v>
      </c>
      <c r="M43" s="2">
        <v>37</v>
      </c>
      <c r="N43" s="2">
        <v>107</v>
      </c>
      <c r="O43" s="2">
        <v>4351</v>
      </c>
      <c r="P43" s="2" t="s">
        <v>27</v>
      </c>
      <c r="Q43" s="4">
        <f>Table2[[#This Row],[Room Booked]]*Table2[[#This Row],[Price]]</f>
        <v>160987</v>
      </c>
      <c r="R43" s="4">
        <v>118782.29999999999</v>
      </c>
    </row>
    <row r="44" spans="1:18" x14ac:dyDescent="0.25">
      <c r="A44" s="2">
        <v>2022</v>
      </c>
      <c r="B44" s="2" t="s">
        <v>55</v>
      </c>
      <c r="C44" s="2" t="s">
        <v>87</v>
      </c>
      <c r="D44" s="2" t="s">
        <v>71</v>
      </c>
      <c r="E44" s="2" t="s">
        <v>72</v>
      </c>
      <c r="F44" s="2" t="s">
        <v>74</v>
      </c>
      <c r="G44" s="2">
        <v>23</v>
      </c>
      <c r="H44" s="2" t="s">
        <v>33</v>
      </c>
      <c r="I44" s="2" t="s">
        <v>24</v>
      </c>
      <c r="J44" s="3">
        <v>44790</v>
      </c>
      <c r="K44" s="2" t="s">
        <v>49</v>
      </c>
      <c r="L44" s="2" t="s">
        <v>43</v>
      </c>
      <c r="M44" s="2">
        <v>10</v>
      </c>
      <c r="N44" s="2">
        <v>97</v>
      </c>
      <c r="O44" s="2">
        <v>118152</v>
      </c>
      <c r="P44" s="2" t="s">
        <v>63</v>
      </c>
      <c r="Q44" s="4">
        <f>Table2[[#This Row],[Room Booked]]*Table2[[#This Row],[Price]]</f>
        <v>1181520</v>
      </c>
      <c r="R44" s="4">
        <v>146213.1</v>
      </c>
    </row>
    <row r="45" spans="1:18" x14ac:dyDescent="0.25">
      <c r="A45" s="2">
        <v>2022</v>
      </c>
      <c r="B45" s="2" t="s">
        <v>55</v>
      </c>
      <c r="C45" s="2" t="s">
        <v>94</v>
      </c>
      <c r="D45" s="2" t="s">
        <v>60</v>
      </c>
      <c r="E45" s="2" t="s">
        <v>61</v>
      </c>
      <c r="F45" s="2" t="s">
        <v>75</v>
      </c>
      <c r="G45" s="2">
        <v>54</v>
      </c>
      <c r="H45" s="2" t="s">
        <v>23</v>
      </c>
      <c r="I45" s="2" t="s">
        <v>24</v>
      </c>
      <c r="J45" s="3">
        <v>44776</v>
      </c>
      <c r="K45" s="2" t="s">
        <v>68</v>
      </c>
      <c r="L45" s="2" t="s">
        <v>43</v>
      </c>
      <c r="M45" s="2">
        <v>28</v>
      </c>
      <c r="N45" s="2">
        <v>123</v>
      </c>
      <c r="O45" s="2">
        <v>52768</v>
      </c>
      <c r="P45" s="2" t="s">
        <v>63</v>
      </c>
      <c r="Q45" s="4">
        <f>Table2[[#This Row],[Room Booked]]*Table2[[#This Row],[Price]]</f>
        <v>1477504</v>
      </c>
      <c r="R45" s="4">
        <v>117463.2</v>
      </c>
    </row>
    <row r="46" spans="1:18" x14ac:dyDescent="0.25">
      <c r="A46" s="2">
        <v>2023</v>
      </c>
      <c r="B46" s="2" t="s">
        <v>76</v>
      </c>
      <c r="C46" s="2" t="s">
        <v>37</v>
      </c>
      <c r="D46" s="2" t="s">
        <v>20</v>
      </c>
      <c r="E46" s="2" t="s">
        <v>21</v>
      </c>
      <c r="F46" s="2" t="s">
        <v>77</v>
      </c>
      <c r="G46" s="2">
        <v>62</v>
      </c>
      <c r="H46" s="2" t="s">
        <v>23</v>
      </c>
      <c r="I46" s="2" t="s">
        <v>24</v>
      </c>
      <c r="J46" s="3">
        <v>45125</v>
      </c>
      <c r="K46" s="2" t="s">
        <v>42</v>
      </c>
      <c r="L46" s="2" t="s">
        <v>43</v>
      </c>
      <c r="M46" s="2">
        <v>24</v>
      </c>
      <c r="N46" s="2">
        <v>104</v>
      </c>
      <c r="O46" s="2">
        <v>26616</v>
      </c>
      <c r="P46" s="2" t="s">
        <v>27</v>
      </c>
      <c r="Q46" s="4">
        <f>Table2[[#This Row],[Room Booked]]*Table2[[#This Row],[Price]]</f>
        <v>638784</v>
      </c>
      <c r="R46" s="4">
        <v>58887.9</v>
      </c>
    </row>
    <row r="47" spans="1:18" x14ac:dyDescent="0.25">
      <c r="A47" s="2">
        <v>2023</v>
      </c>
      <c r="B47" s="2" t="s">
        <v>36</v>
      </c>
      <c r="C47" s="2" t="s">
        <v>94</v>
      </c>
      <c r="D47" s="2" t="s">
        <v>60</v>
      </c>
      <c r="E47" s="2" t="s">
        <v>61</v>
      </c>
      <c r="F47" s="2" t="s">
        <v>78</v>
      </c>
      <c r="G47" s="2">
        <v>68</v>
      </c>
      <c r="H47" s="2" t="s">
        <v>33</v>
      </c>
      <c r="I47" s="2" t="s">
        <v>24</v>
      </c>
      <c r="J47" s="3">
        <v>45099</v>
      </c>
      <c r="K47" s="2" t="s">
        <v>68</v>
      </c>
      <c r="L47" s="2" t="s">
        <v>26</v>
      </c>
      <c r="M47" s="2">
        <v>28</v>
      </c>
      <c r="N47" s="2">
        <v>99</v>
      </c>
      <c r="O47" s="2">
        <v>23616</v>
      </c>
      <c r="P47" s="2" t="s">
        <v>50</v>
      </c>
      <c r="Q47" s="4">
        <f>Table2[[#This Row],[Room Booked]]*Table2[[#This Row],[Price]]</f>
        <v>661248</v>
      </c>
      <c r="R47" s="4">
        <v>31350.3</v>
      </c>
    </row>
    <row r="48" spans="1:18" x14ac:dyDescent="0.25">
      <c r="A48" s="2">
        <v>2022</v>
      </c>
      <c r="B48" s="2" t="s">
        <v>36</v>
      </c>
      <c r="C48" s="2" t="s">
        <v>87</v>
      </c>
      <c r="D48" s="2" t="s">
        <v>71</v>
      </c>
      <c r="E48" s="2" t="s">
        <v>72</v>
      </c>
      <c r="F48" s="2" t="s">
        <v>79</v>
      </c>
      <c r="G48" s="2">
        <v>38</v>
      </c>
      <c r="H48" s="2" t="s">
        <v>33</v>
      </c>
      <c r="I48" s="2" t="s">
        <v>24</v>
      </c>
      <c r="J48" s="3">
        <v>44739</v>
      </c>
      <c r="K48" s="2" t="s">
        <v>46</v>
      </c>
      <c r="L48" s="2" t="s">
        <v>43</v>
      </c>
      <c r="M48" s="2">
        <v>30</v>
      </c>
      <c r="N48" s="2">
        <v>84</v>
      </c>
      <c r="O48" s="2">
        <v>7804</v>
      </c>
      <c r="P48" s="2" t="s">
        <v>27</v>
      </c>
      <c r="Q48" s="4">
        <f>Table2[[#This Row],[Room Booked]]*Table2[[#This Row],[Price]]</f>
        <v>234120</v>
      </c>
      <c r="R48" s="4">
        <v>173248.8</v>
      </c>
    </row>
    <row r="49" spans="1:18" x14ac:dyDescent="0.25">
      <c r="A49" s="2">
        <v>2022</v>
      </c>
      <c r="B49" s="2" t="s">
        <v>53</v>
      </c>
      <c r="C49" s="2" t="s">
        <v>37</v>
      </c>
      <c r="D49" s="2" t="s">
        <v>20</v>
      </c>
      <c r="E49" s="2" t="s">
        <v>21</v>
      </c>
      <c r="F49" s="2" t="s">
        <v>81</v>
      </c>
      <c r="G49" s="2">
        <v>40</v>
      </c>
      <c r="H49" s="2" t="s">
        <v>33</v>
      </c>
      <c r="I49" s="2" t="s">
        <v>24</v>
      </c>
      <c r="J49" s="3">
        <v>44629</v>
      </c>
      <c r="K49" s="2" t="s">
        <v>25</v>
      </c>
      <c r="L49" s="2" t="s">
        <v>26</v>
      </c>
      <c r="M49" s="2">
        <v>10</v>
      </c>
      <c r="N49" s="2">
        <v>118</v>
      </c>
      <c r="O49" s="2">
        <v>9387</v>
      </c>
      <c r="P49" s="2" t="s">
        <v>63</v>
      </c>
      <c r="Q49" s="4">
        <f>Table2[[#This Row],[Room Booked]]*Table2[[#This Row],[Price]]</f>
        <v>93870</v>
      </c>
      <c r="R49" s="4">
        <v>67586.399999999994</v>
      </c>
    </row>
    <row r="50" spans="1:18" x14ac:dyDescent="0.25">
      <c r="A50" s="2">
        <v>2022</v>
      </c>
      <c r="B50" s="2" t="s">
        <v>51</v>
      </c>
      <c r="C50" s="2" t="s">
        <v>87</v>
      </c>
      <c r="D50" s="2" t="s">
        <v>71</v>
      </c>
      <c r="E50" s="2" t="s">
        <v>72</v>
      </c>
      <c r="F50" s="2" t="s">
        <v>82</v>
      </c>
      <c r="G50" s="2">
        <v>20</v>
      </c>
      <c r="H50" s="2" t="s">
        <v>23</v>
      </c>
      <c r="I50" s="2" t="s">
        <v>24</v>
      </c>
      <c r="J50" s="3">
        <v>44810</v>
      </c>
      <c r="K50" s="2" t="s">
        <v>46</v>
      </c>
      <c r="L50" s="2" t="s">
        <v>34</v>
      </c>
      <c r="M50" s="2">
        <v>19</v>
      </c>
      <c r="N50" s="2">
        <v>83</v>
      </c>
      <c r="O50" s="2">
        <v>6073</v>
      </c>
      <c r="P50" s="2" t="s">
        <v>27</v>
      </c>
      <c r="Q50" s="4">
        <f>Table2[[#This Row],[Room Booked]]*Table2[[#This Row],[Price]]</f>
        <v>115387</v>
      </c>
      <c r="R50" s="4">
        <v>83807.399999999994</v>
      </c>
    </row>
    <row r="51" spans="1:18" x14ac:dyDescent="0.25">
      <c r="A51" s="2">
        <v>2023</v>
      </c>
      <c r="B51" s="2" t="s">
        <v>44</v>
      </c>
      <c r="C51" s="2" t="s">
        <v>87</v>
      </c>
      <c r="D51" s="2" t="s">
        <v>71</v>
      </c>
      <c r="E51" s="2" t="s">
        <v>72</v>
      </c>
      <c r="F51" s="2" t="s">
        <v>83</v>
      </c>
      <c r="G51" s="2">
        <v>72</v>
      </c>
      <c r="H51" s="2" t="s">
        <v>23</v>
      </c>
      <c r="I51" s="2" t="s">
        <v>41</v>
      </c>
      <c r="J51" s="3">
        <v>45206</v>
      </c>
      <c r="K51" s="2" t="s">
        <v>65</v>
      </c>
      <c r="L51" s="2" t="s">
        <v>26</v>
      </c>
      <c r="M51" s="2">
        <v>32</v>
      </c>
      <c r="N51" s="2">
        <v>83</v>
      </c>
      <c r="O51" s="2">
        <v>1924</v>
      </c>
      <c r="P51" s="2" t="s">
        <v>35</v>
      </c>
      <c r="Q51" s="4">
        <f>Table2[[#This Row],[Room Booked]]*Table2[[#This Row],[Price]]</f>
        <v>61568</v>
      </c>
      <c r="R51" s="4">
        <v>45021.599999999999</v>
      </c>
    </row>
    <row r="52" spans="1:18" x14ac:dyDescent="0.25">
      <c r="A52" s="2">
        <v>2023</v>
      </c>
      <c r="B52" s="2" t="s">
        <v>55</v>
      </c>
      <c r="C52" s="2" t="s">
        <v>37</v>
      </c>
      <c r="D52" s="2" t="s">
        <v>38</v>
      </c>
      <c r="E52" s="2" t="s">
        <v>39</v>
      </c>
      <c r="F52" s="2" t="s">
        <v>84</v>
      </c>
      <c r="G52" s="2">
        <v>55</v>
      </c>
      <c r="H52" s="2" t="s">
        <v>33</v>
      </c>
      <c r="I52" s="2" t="s">
        <v>41</v>
      </c>
      <c r="J52" s="3">
        <v>45162</v>
      </c>
      <c r="K52" s="2" t="s">
        <v>25</v>
      </c>
      <c r="L52" s="2" t="s">
        <v>34</v>
      </c>
      <c r="M52" s="2">
        <v>34</v>
      </c>
      <c r="N52" s="2">
        <v>114</v>
      </c>
      <c r="O52" s="2">
        <v>2871</v>
      </c>
      <c r="P52" s="2" t="s">
        <v>63</v>
      </c>
      <c r="Q52" s="4">
        <f>Table2[[#This Row],[Room Booked]]*Table2[[#This Row],[Price]]</f>
        <v>97614</v>
      </c>
      <c r="R52" s="4">
        <v>71487.899999999994</v>
      </c>
    </row>
    <row r="53" spans="1:18" x14ac:dyDescent="0.25">
      <c r="A53" s="2">
        <v>2023</v>
      </c>
      <c r="B53" s="2" t="s">
        <v>95</v>
      </c>
      <c r="C53" s="2" t="s">
        <v>87</v>
      </c>
      <c r="D53" s="2" t="s">
        <v>71</v>
      </c>
      <c r="E53" s="2" t="s">
        <v>72</v>
      </c>
      <c r="F53" s="2" t="s">
        <v>85</v>
      </c>
      <c r="G53" s="2">
        <v>60</v>
      </c>
      <c r="H53" s="2" t="s">
        <v>23</v>
      </c>
      <c r="I53" s="2" t="s">
        <v>41</v>
      </c>
      <c r="J53" s="3">
        <v>44963</v>
      </c>
      <c r="K53" s="2" t="s">
        <v>49</v>
      </c>
      <c r="L53" s="2" t="s">
        <v>26</v>
      </c>
      <c r="M53" s="2">
        <v>26</v>
      </c>
      <c r="N53" s="2">
        <v>112</v>
      </c>
      <c r="O53" s="2">
        <v>119736</v>
      </c>
      <c r="P53" s="2" t="s">
        <v>27</v>
      </c>
      <c r="Q53" s="4">
        <f>Table2[[#This Row],[Room Booked]]*Table2[[#This Row],[Price]]</f>
        <v>3113136</v>
      </c>
      <c r="R53" s="4">
        <v>94292.099999999991</v>
      </c>
    </row>
    <row r="54" spans="1:18" x14ac:dyDescent="0.25">
      <c r="A54" s="2">
        <v>2022</v>
      </c>
      <c r="B54" s="2" t="s">
        <v>36</v>
      </c>
      <c r="C54" s="2" t="s">
        <v>94</v>
      </c>
      <c r="D54" s="2" t="s">
        <v>60</v>
      </c>
      <c r="E54" s="2" t="s">
        <v>61</v>
      </c>
      <c r="F54" s="2" t="s">
        <v>86</v>
      </c>
      <c r="G54" s="2">
        <v>52</v>
      </c>
      <c r="H54" s="2" t="s">
        <v>33</v>
      </c>
      <c r="I54" s="2" t="s">
        <v>41</v>
      </c>
      <c r="J54" s="3">
        <v>44738</v>
      </c>
      <c r="K54" s="2" t="s">
        <v>46</v>
      </c>
      <c r="L54" s="2" t="s">
        <v>26</v>
      </c>
      <c r="M54" s="2">
        <v>15</v>
      </c>
      <c r="N54" s="2">
        <v>106</v>
      </c>
      <c r="O54" s="2">
        <v>8278</v>
      </c>
      <c r="P54" s="2" t="s">
        <v>27</v>
      </c>
      <c r="Q54" s="4">
        <f>Table2[[#This Row],[Room Booked]]*Table2[[#This Row],[Price]]</f>
        <v>124170</v>
      </c>
      <c r="R54" s="4">
        <v>89402.4</v>
      </c>
    </row>
    <row r="55" spans="1:18" x14ac:dyDescent="0.25">
      <c r="A55" s="2">
        <v>2022</v>
      </c>
      <c r="B55" s="2" t="s">
        <v>69</v>
      </c>
      <c r="C55" s="2" t="s">
        <v>29</v>
      </c>
      <c r="D55" s="2" t="s">
        <v>30</v>
      </c>
      <c r="E55" s="2" t="s">
        <v>31</v>
      </c>
      <c r="F55" s="2" t="s">
        <v>88</v>
      </c>
      <c r="G55" s="2">
        <v>20</v>
      </c>
      <c r="H55" s="2" t="s">
        <v>33</v>
      </c>
      <c r="I55" s="2" t="s">
        <v>24</v>
      </c>
      <c r="J55" s="3">
        <v>44866</v>
      </c>
      <c r="K55" s="2" t="s">
        <v>46</v>
      </c>
      <c r="L55" s="2" t="s">
        <v>34</v>
      </c>
      <c r="M55" s="2">
        <v>19</v>
      </c>
      <c r="N55" s="2">
        <v>125</v>
      </c>
      <c r="O55" s="2">
        <v>7364</v>
      </c>
      <c r="P55" s="2" t="s">
        <v>27</v>
      </c>
      <c r="Q55" s="4">
        <f>Table2[[#This Row],[Room Booked]]*Table2[[#This Row],[Price]]</f>
        <v>139916</v>
      </c>
      <c r="R55" s="4">
        <v>46393.2</v>
      </c>
    </row>
    <row r="56" spans="1:18" x14ac:dyDescent="0.25">
      <c r="A56" s="2">
        <v>2022</v>
      </c>
      <c r="B56" s="2" t="s">
        <v>76</v>
      </c>
      <c r="C56" s="2" t="s">
        <v>87</v>
      </c>
      <c r="D56" s="2" t="s">
        <v>71</v>
      </c>
      <c r="E56" s="2" t="s">
        <v>72</v>
      </c>
      <c r="F56" s="2" t="s">
        <v>89</v>
      </c>
      <c r="G56" s="2">
        <v>27</v>
      </c>
      <c r="H56" s="2" t="s">
        <v>33</v>
      </c>
      <c r="I56" s="2" t="s">
        <v>24</v>
      </c>
      <c r="J56" s="3">
        <v>44746</v>
      </c>
      <c r="K56" s="2" t="s">
        <v>49</v>
      </c>
      <c r="L56" s="2" t="s">
        <v>26</v>
      </c>
      <c r="M56" s="2">
        <v>6</v>
      </c>
      <c r="N56" s="2">
        <v>94</v>
      </c>
      <c r="O56" s="2">
        <v>122880</v>
      </c>
      <c r="P56" s="2" t="s">
        <v>35</v>
      </c>
      <c r="Q56" s="4">
        <f>Table2[[#This Row],[Room Booked]]*Table2[[#This Row],[Price]]</f>
        <v>737280</v>
      </c>
      <c r="R56" s="4">
        <v>19968</v>
      </c>
    </row>
    <row r="57" spans="1:18" x14ac:dyDescent="0.25">
      <c r="A57" s="2">
        <v>2022</v>
      </c>
      <c r="B57" s="2" t="s">
        <v>47</v>
      </c>
      <c r="C57" s="2" t="s">
        <v>19</v>
      </c>
      <c r="D57" s="2" t="s">
        <v>20</v>
      </c>
      <c r="E57" s="2" t="s">
        <v>21</v>
      </c>
      <c r="F57" s="2" t="s">
        <v>90</v>
      </c>
      <c r="G57" s="2">
        <v>35</v>
      </c>
      <c r="H57" s="2" t="s">
        <v>33</v>
      </c>
      <c r="I57" s="2" t="s">
        <v>24</v>
      </c>
      <c r="J57" s="3">
        <v>44907</v>
      </c>
      <c r="K57" s="2" t="s">
        <v>49</v>
      </c>
      <c r="L57" s="2" t="s">
        <v>34</v>
      </c>
      <c r="M57" s="2">
        <v>16</v>
      </c>
      <c r="N57" s="2">
        <v>119</v>
      </c>
      <c r="O57" s="2">
        <v>116352</v>
      </c>
      <c r="P57" s="2" t="s">
        <v>50</v>
      </c>
      <c r="Q57" s="4">
        <f>Table2[[#This Row],[Room Booked]]*Table2[[#This Row],[Price]]</f>
        <v>1861632</v>
      </c>
      <c r="R57" s="4">
        <v>91627.199999999997</v>
      </c>
    </row>
    <row r="58" spans="1:18" x14ac:dyDescent="0.25">
      <c r="A58" s="2">
        <v>2023</v>
      </c>
      <c r="B58" s="2" t="s">
        <v>18</v>
      </c>
      <c r="C58" s="2" t="s">
        <v>87</v>
      </c>
      <c r="D58" s="2" t="s">
        <v>71</v>
      </c>
      <c r="E58" s="2" t="s">
        <v>72</v>
      </c>
      <c r="F58" s="2" t="s">
        <v>22</v>
      </c>
      <c r="G58" s="2">
        <v>44</v>
      </c>
      <c r="H58" s="2" t="s">
        <v>33</v>
      </c>
      <c r="I58" s="2" t="s">
        <v>41</v>
      </c>
      <c r="J58" s="3">
        <v>44948</v>
      </c>
      <c r="K58" s="2" t="s">
        <v>68</v>
      </c>
      <c r="L58" s="2" t="s">
        <v>43</v>
      </c>
      <c r="M58" s="2">
        <v>32</v>
      </c>
      <c r="N58" s="2">
        <v>80</v>
      </c>
      <c r="O58" s="2">
        <v>72768</v>
      </c>
      <c r="P58" s="2" t="s">
        <v>50</v>
      </c>
      <c r="Q58" s="4">
        <f>Table2[[#This Row],[Room Booked]]*Table2[[#This Row],[Price]]</f>
        <v>2328576</v>
      </c>
      <c r="R58" s="4">
        <v>166089.60000000001</v>
      </c>
    </row>
    <row r="59" spans="1:18" x14ac:dyDescent="0.25">
      <c r="A59" s="2">
        <v>2022</v>
      </c>
      <c r="B59" s="2" t="s">
        <v>47</v>
      </c>
      <c r="C59" s="2" t="s">
        <v>87</v>
      </c>
      <c r="D59" s="2" t="s">
        <v>20</v>
      </c>
      <c r="E59" s="2" t="s">
        <v>21</v>
      </c>
      <c r="F59" s="2" t="s">
        <v>32</v>
      </c>
      <c r="G59" s="2">
        <v>63</v>
      </c>
      <c r="H59" s="2" t="s">
        <v>33</v>
      </c>
      <c r="I59" s="2" t="s">
        <v>41</v>
      </c>
      <c r="J59" s="3">
        <v>44926</v>
      </c>
      <c r="K59" s="2" t="s">
        <v>49</v>
      </c>
      <c r="L59" s="2" t="s">
        <v>43</v>
      </c>
      <c r="M59" s="2">
        <v>38</v>
      </c>
      <c r="N59" s="2">
        <v>115</v>
      </c>
      <c r="O59" s="2">
        <v>132480</v>
      </c>
      <c r="P59" s="2" t="s">
        <v>27</v>
      </c>
      <c r="Q59" s="4">
        <f>Table2[[#This Row],[Room Booked]]*Table2[[#This Row],[Price]]</f>
        <v>5034240</v>
      </c>
      <c r="R59" s="4">
        <v>157320</v>
      </c>
    </row>
    <row r="60" spans="1:18" x14ac:dyDescent="0.25">
      <c r="A60" s="2">
        <v>2022</v>
      </c>
      <c r="B60" s="2" t="s">
        <v>57</v>
      </c>
      <c r="C60" s="2" t="s">
        <v>70</v>
      </c>
      <c r="D60" s="2" t="s">
        <v>20</v>
      </c>
      <c r="E60" s="2" t="s">
        <v>21</v>
      </c>
      <c r="F60" s="2" t="s">
        <v>40</v>
      </c>
      <c r="G60" s="2">
        <v>37</v>
      </c>
      <c r="H60" s="2" t="s">
        <v>33</v>
      </c>
      <c r="I60" s="2" t="s">
        <v>24</v>
      </c>
      <c r="J60" s="3">
        <v>44701</v>
      </c>
      <c r="K60" s="2" t="s">
        <v>80</v>
      </c>
      <c r="L60" s="2" t="s">
        <v>34</v>
      </c>
      <c r="M60" s="2">
        <v>38</v>
      </c>
      <c r="N60" s="2">
        <v>115</v>
      </c>
      <c r="O60" s="2">
        <v>241984</v>
      </c>
      <c r="P60" s="2" t="s">
        <v>27</v>
      </c>
      <c r="Q60" s="4">
        <f>Table2[[#This Row],[Room Booked]]*Table2[[#This Row],[Price]]</f>
        <v>9195392</v>
      </c>
      <c r="R60" s="4">
        <v>215517</v>
      </c>
    </row>
    <row r="61" spans="1:18" x14ac:dyDescent="0.25">
      <c r="A61" s="2">
        <v>2023</v>
      </c>
      <c r="B61" s="2" t="s">
        <v>57</v>
      </c>
      <c r="C61" s="2" t="s">
        <v>37</v>
      </c>
      <c r="D61" s="2" t="s">
        <v>38</v>
      </c>
      <c r="E61" s="2" t="s">
        <v>39</v>
      </c>
      <c r="F61" s="2" t="s">
        <v>45</v>
      </c>
      <c r="G61" s="2">
        <v>23</v>
      </c>
      <c r="H61" s="2" t="s">
        <v>33</v>
      </c>
      <c r="I61" s="2" t="s">
        <v>41</v>
      </c>
      <c r="J61" s="3">
        <v>45058</v>
      </c>
      <c r="K61" s="2" t="s">
        <v>42</v>
      </c>
      <c r="L61" s="2" t="s">
        <v>43</v>
      </c>
      <c r="M61" s="2">
        <v>71</v>
      </c>
      <c r="N61" s="2">
        <v>77</v>
      </c>
      <c r="O61" s="2">
        <v>29216</v>
      </c>
      <c r="P61" s="2" t="s">
        <v>27</v>
      </c>
      <c r="Q61" s="4">
        <f>Table2[[#This Row],[Room Booked]]*Table2[[#This Row],[Price]]</f>
        <v>2074336</v>
      </c>
      <c r="R61" s="4">
        <v>4382.3999999999996</v>
      </c>
    </row>
    <row r="62" spans="1:18" x14ac:dyDescent="0.25">
      <c r="A62" s="2">
        <v>2022</v>
      </c>
      <c r="B62" s="2" t="s">
        <v>51</v>
      </c>
      <c r="C62" s="2" t="s">
        <v>59</v>
      </c>
      <c r="D62" s="2" t="s">
        <v>60</v>
      </c>
      <c r="E62" s="2" t="s">
        <v>61</v>
      </c>
      <c r="F62" s="2" t="s">
        <v>48</v>
      </c>
      <c r="G62" s="2">
        <v>27</v>
      </c>
      <c r="H62" s="2" t="s">
        <v>33</v>
      </c>
      <c r="I62" s="2" t="s">
        <v>41</v>
      </c>
      <c r="J62" s="3">
        <v>44824</v>
      </c>
      <c r="K62" s="2" t="s">
        <v>68</v>
      </c>
      <c r="L62" s="2" t="s">
        <v>43</v>
      </c>
      <c r="M62" s="2">
        <v>13</v>
      </c>
      <c r="N62" s="2">
        <v>107</v>
      </c>
      <c r="O62" s="2">
        <v>119616</v>
      </c>
      <c r="P62" s="2" t="s">
        <v>50</v>
      </c>
      <c r="Q62" s="4">
        <f>Table2[[#This Row],[Room Booked]]*Table2[[#This Row],[Price]]</f>
        <v>1555008</v>
      </c>
      <c r="R62" s="4">
        <v>11587.8</v>
      </c>
    </row>
    <row r="63" spans="1:18" x14ac:dyDescent="0.25">
      <c r="A63" s="2">
        <v>2022</v>
      </c>
      <c r="B63" s="2" t="s">
        <v>36</v>
      </c>
      <c r="C63" s="2" t="s">
        <v>37</v>
      </c>
      <c r="D63" s="2" t="s">
        <v>38</v>
      </c>
      <c r="E63" s="2" t="s">
        <v>39</v>
      </c>
      <c r="F63" s="2" t="s">
        <v>52</v>
      </c>
      <c r="G63" s="2">
        <v>69</v>
      </c>
      <c r="H63" s="2" t="s">
        <v>33</v>
      </c>
      <c r="I63" s="2" t="s">
        <v>41</v>
      </c>
      <c r="J63" s="3">
        <v>44718</v>
      </c>
      <c r="K63" s="2" t="s">
        <v>80</v>
      </c>
      <c r="L63" s="2" t="s">
        <v>34</v>
      </c>
      <c r="M63" s="2">
        <v>28</v>
      </c>
      <c r="N63" s="2">
        <v>79</v>
      </c>
      <c r="O63" s="2">
        <v>31040</v>
      </c>
      <c r="P63" s="2" t="s">
        <v>27</v>
      </c>
      <c r="Q63" s="4">
        <f>Table2[[#This Row],[Room Booked]]*Table2[[#This Row],[Price]]</f>
        <v>869120</v>
      </c>
      <c r="R63" s="4">
        <v>6693</v>
      </c>
    </row>
    <row r="64" spans="1:18" x14ac:dyDescent="0.25">
      <c r="A64" s="2">
        <v>2022</v>
      </c>
      <c r="B64" s="2" t="s">
        <v>28</v>
      </c>
      <c r="C64" s="2" t="s">
        <v>87</v>
      </c>
      <c r="D64" s="2" t="s">
        <v>71</v>
      </c>
      <c r="E64" s="2" t="s">
        <v>72</v>
      </c>
      <c r="F64" s="2" t="s">
        <v>54</v>
      </c>
      <c r="G64" s="2">
        <v>29</v>
      </c>
      <c r="H64" s="2" t="s">
        <v>33</v>
      </c>
      <c r="I64" s="2" t="s">
        <v>41</v>
      </c>
      <c r="J64" s="3">
        <v>44674</v>
      </c>
      <c r="K64" s="2" t="s">
        <v>42</v>
      </c>
      <c r="L64" s="2" t="s">
        <v>43</v>
      </c>
      <c r="M64" s="2">
        <v>24</v>
      </c>
      <c r="N64" s="2">
        <v>116</v>
      </c>
      <c r="O64" s="2">
        <v>29832</v>
      </c>
      <c r="P64" s="2" t="s">
        <v>27</v>
      </c>
      <c r="Q64" s="4">
        <f>Table2[[#This Row],[Room Booked]]*Table2[[#This Row],[Price]]</f>
        <v>715968</v>
      </c>
      <c r="R64" s="4">
        <v>64884.6</v>
      </c>
    </row>
    <row r="65" spans="1:18" x14ac:dyDescent="0.25">
      <c r="A65" s="2">
        <v>2023</v>
      </c>
      <c r="B65" s="2" t="s">
        <v>55</v>
      </c>
      <c r="C65" s="2" t="s">
        <v>37</v>
      </c>
      <c r="D65" s="2" t="s">
        <v>38</v>
      </c>
      <c r="E65" s="2" t="s">
        <v>39</v>
      </c>
      <c r="F65" s="2" t="s">
        <v>56</v>
      </c>
      <c r="G65" s="2">
        <v>43</v>
      </c>
      <c r="H65" s="2" t="s">
        <v>23</v>
      </c>
      <c r="I65" s="2" t="s">
        <v>24</v>
      </c>
      <c r="J65" s="3">
        <v>45145</v>
      </c>
      <c r="K65" s="2" t="s">
        <v>65</v>
      </c>
      <c r="L65" s="2" t="s">
        <v>43</v>
      </c>
      <c r="M65" s="2">
        <v>27</v>
      </c>
      <c r="N65" s="2">
        <v>93</v>
      </c>
      <c r="O65" s="2">
        <v>7325</v>
      </c>
      <c r="P65" s="2" t="s">
        <v>50</v>
      </c>
      <c r="Q65" s="4">
        <f>Table2[[#This Row],[Room Booked]]*Table2[[#This Row],[Price]]</f>
        <v>197775</v>
      </c>
      <c r="R65" s="4">
        <v>145035</v>
      </c>
    </row>
    <row r="66" spans="1:18" x14ac:dyDescent="0.25">
      <c r="A66" s="2">
        <v>2022</v>
      </c>
      <c r="B66" s="2" t="s">
        <v>28</v>
      </c>
      <c r="C66" s="2" t="s">
        <v>87</v>
      </c>
      <c r="D66" s="2" t="s">
        <v>20</v>
      </c>
      <c r="E66" s="2" t="s">
        <v>21</v>
      </c>
      <c r="F66" s="2" t="s">
        <v>58</v>
      </c>
      <c r="G66" s="2">
        <v>40</v>
      </c>
      <c r="H66" s="2" t="s">
        <v>33</v>
      </c>
      <c r="I66" s="2" t="s">
        <v>24</v>
      </c>
      <c r="J66" s="3">
        <v>44667</v>
      </c>
      <c r="K66" s="2" t="s">
        <v>49</v>
      </c>
      <c r="L66" s="2" t="s">
        <v>26</v>
      </c>
      <c r="M66" s="2">
        <v>29</v>
      </c>
      <c r="N66" s="2">
        <v>97</v>
      </c>
      <c r="O66" s="2">
        <v>116568</v>
      </c>
      <c r="P66" s="2" t="s">
        <v>27</v>
      </c>
      <c r="Q66" s="4">
        <f>Table2[[#This Row],[Room Booked]]*Table2[[#This Row],[Price]]</f>
        <v>3380472</v>
      </c>
      <c r="R66" s="4">
        <v>104911.2</v>
      </c>
    </row>
    <row r="67" spans="1:18" x14ac:dyDescent="0.25">
      <c r="A67" s="2">
        <v>2023</v>
      </c>
      <c r="B67" s="2" t="s">
        <v>55</v>
      </c>
      <c r="C67" s="2" t="s">
        <v>91</v>
      </c>
      <c r="D67" s="2" t="s">
        <v>20</v>
      </c>
      <c r="E67" s="2" t="s">
        <v>21</v>
      </c>
      <c r="F67" s="2" t="s">
        <v>62</v>
      </c>
      <c r="G67" s="2">
        <v>33</v>
      </c>
      <c r="H67" s="2" t="s">
        <v>33</v>
      </c>
      <c r="I67" s="2" t="s">
        <v>41</v>
      </c>
      <c r="J67" s="3">
        <v>45150</v>
      </c>
      <c r="K67" s="2" t="s">
        <v>49</v>
      </c>
      <c r="L67" s="2" t="s">
        <v>26</v>
      </c>
      <c r="M67" s="2">
        <v>22</v>
      </c>
      <c r="N67" s="2">
        <v>80</v>
      </c>
      <c r="O67" s="2">
        <v>53736</v>
      </c>
      <c r="P67" s="2" t="s">
        <v>50</v>
      </c>
      <c r="Q67" s="4">
        <f>Table2[[#This Row],[Room Booked]]*Table2[[#This Row],[Price]]</f>
        <v>1182192</v>
      </c>
      <c r="R67" s="4">
        <v>36943.5</v>
      </c>
    </row>
    <row r="68" spans="1:18" x14ac:dyDescent="0.25">
      <c r="A68" s="2">
        <v>2023</v>
      </c>
      <c r="B68" s="2" t="s">
        <v>57</v>
      </c>
      <c r="C68" s="2" t="s">
        <v>19</v>
      </c>
      <c r="D68" s="2" t="s">
        <v>20</v>
      </c>
      <c r="E68" s="2" t="s">
        <v>21</v>
      </c>
      <c r="F68" s="2" t="s">
        <v>64</v>
      </c>
      <c r="G68" s="2">
        <v>31</v>
      </c>
      <c r="H68" s="2" t="s">
        <v>33</v>
      </c>
      <c r="I68" s="2" t="s">
        <v>24</v>
      </c>
      <c r="J68" s="3">
        <v>45070</v>
      </c>
      <c r="K68" s="2" t="s">
        <v>68</v>
      </c>
      <c r="L68" s="2" t="s">
        <v>43</v>
      </c>
      <c r="M68" s="2">
        <v>10</v>
      </c>
      <c r="N68" s="2">
        <v>117</v>
      </c>
      <c r="O68" s="2">
        <v>219168</v>
      </c>
      <c r="P68" s="2" t="s">
        <v>63</v>
      </c>
      <c r="Q68" s="4">
        <f>Table2[[#This Row],[Room Booked]]*Table2[[#This Row],[Price]]</f>
        <v>2191680</v>
      </c>
      <c r="R68" s="4">
        <v>17122.5</v>
      </c>
    </row>
    <row r="69" spans="1:18" x14ac:dyDescent="0.25">
      <c r="A69" s="2">
        <v>2022</v>
      </c>
      <c r="B69" s="2" t="s">
        <v>57</v>
      </c>
      <c r="C69" s="2" t="s">
        <v>87</v>
      </c>
      <c r="D69" s="2" t="s">
        <v>71</v>
      </c>
      <c r="E69" s="2" t="s">
        <v>72</v>
      </c>
      <c r="F69" s="2" t="s">
        <v>66</v>
      </c>
      <c r="G69" s="2">
        <v>61</v>
      </c>
      <c r="H69" s="2" t="s">
        <v>33</v>
      </c>
      <c r="I69" s="2" t="s">
        <v>41</v>
      </c>
      <c r="J69" s="3">
        <v>44712</v>
      </c>
      <c r="K69" s="2" t="s">
        <v>65</v>
      </c>
      <c r="L69" s="2" t="s">
        <v>34</v>
      </c>
      <c r="M69" s="2">
        <v>28</v>
      </c>
      <c r="N69" s="2">
        <v>86</v>
      </c>
      <c r="O69" s="2">
        <v>2690</v>
      </c>
      <c r="P69" s="2" t="s">
        <v>63</v>
      </c>
      <c r="Q69" s="4">
        <f>Table2[[#This Row],[Room Booked]]*Table2[[#This Row],[Price]]</f>
        <v>75320</v>
      </c>
      <c r="R69" s="4">
        <v>54876</v>
      </c>
    </row>
    <row r="70" spans="1:18" x14ac:dyDescent="0.25">
      <c r="A70" s="2">
        <v>2022</v>
      </c>
      <c r="B70" s="2" t="s">
        <v>69</v>
      </c>
      <c r="C70" s="2" t="s">
        <v>87</v>
      </c>
      <c r="D70" s="2" t="s">
        <v>71</v>
      </c>
      <c r="E70" s="2" t="s">
        <v>72</v>
      </c>
      <c r="F70" s="2" t="s">
        <v>67</v>
      </c>
      <c r="G70" s="2">
        <v>32</v>
      </c>
      <c r="H70" s="2" t="s">
        <v>33</v>
      </c>
      <c r="I70" s="2" t="s">
        <v>24</v>
      </c>
      <c r="J70" s="3">
        <v>44869</v>
      </c>
      <c r="K70" s="2" t="s">
        <v>65</v>
      </c>
      <c r="L70" s="2" t="s">
        <v>34</v>
      </c>
      <c r="M70" s="2">
        <v>1</v>
      </c>
      <c r="N70" s="2">
        <v>96</v>
      </c>
      <c r="O70" s="2">
        <v>2458</v>
      </c>
      <c r="P70" s="2" t="s">
        <v>27</v>
      </c>
      <c r="Q70" s="4">
        <f>Table2[[#This Row],[Room Booked]]*Table2[[#This Row],[Price]]</f>
        <v>2458</v>
      </c>
      <c r="R70" s="4">
        <v>1474.8</v>
      </c>
    </row>
    <row r="71" spans="1:18" x14ac:dyDescent="0.25">
      <c r="A71" s="2">
        <v>2023</v>
      </c>
      <c r="B71" s="2" t="s">
        <v>53</v>
      </c>
      <c r="C71" s="2" t="s">
        <v>94</v>
      </c>
      <c r="D71" s="2" t="s">
        <v>20</v>
      </c>
      <c r="E71" s="2" t="s">
        <v>21</v>
      </c>
      <c r="F71" s="2" t="s">
        <v>73</v>
      </c>
      <c r="G71" s="2">
        <v>72</v>
      </c>
      <c r="H71" s="2" t="s">
        <v>23</v>
      </c>
      <c r="I71" s="2" t="s">
        <v>24</v>
      </c>
      <c r="J71" s="3">
        <v>44999</v>
      </c>
      <c r="K71" s="2" t="s">
        <v>46</v>
      </c>
      <c r="L71" s="2" t="s">
        <v>34</v>
      </c>
      <c r="M71" s="2">
        <v>4</v>
      </c>
      <c r="N71" s="2">
        <v>89</v>
      </c>
      <c r="O71" s="2">
        <v>2398</v>
      </c>
      <c r="P71" s="2" t="s">
        <v>35</v>
      </c>
      <c r="Q71" s="4">
        <f>Table2[[#This Row],[Room Booked]]*Table2[[#This Row],[Price]]</f>
        <v>9592</v>
      </c>
      <c r="R71" s="4">
        <v>5755.2</v>
      </c>
    </row>
    <row r="72" spans="1:18" x14ac:dyDescent="0.25">
      <c r="A72" s="2">
        <v>2022</v>
      </c>
      <c r="B72" s="2" t="s">
        <v>36</v>
      </c>
      <c r="C72" s="2" t="s">
        <v>37</v>
      </c>
      <c r="D72" s="2" t="s">
        <v>38</v>
      </c>
      <c r="E72" s="2" t="s">
        <v>96</v>
      </c>
      <c r="F72" s="2" t="s">
        <v>74</v>
      </c>
      <c r="G72" s="2">
        <v>21</v>
      </c>
      <c r="H72" s="2" t="s">
        <v>23</v>
      </c>
      <c r="I72" s="2" t="s">
        <v>41</v>
      </c>
      <c r="J72" s="3">
        <v>44721</v>
      </c>
      <c r="K72" s="2" t="s">
        <v>42</v>
      </c>
      <c r="L72" s="2" t="s">
        <v>43</v>
      </c>
      <c r="M72" s="2">
        <v>20</v>
      </c>
      <c r="N72" s="2">
        <v>123</v>
      </c>
      <c r="O72" s="2">
        <v>26016</v>
      </c>
      <c r="P72" s="2" t="s">
        <v>27</v>
      </c>
      <c r="Q72" s="4">
        <f>Table2[[#This Row],[Room Booked]]*Table2[[#This Row],[Price]]</f>
        <v>520320</v>
      </c>
      <c r="R72" s="4">
        <v>26341.200000000001</v>
      </c>
    </row>
    <row r="73" spans="1:18" x14ac:dyDescent="0.25">
      <c r="A73" s="2">
        <v>2023</v>
      </c>
      <c r="B73" s="2" t="s">
        <v>51</v>
      </c>
      <c r="C73" s="2" t="s">
        <v>37</v>
      </c>
      <c r="D73" s="2" t="s">
        <v>38</v>
      </c>
      <c r="E73" s="2" t="s">
        <v>96</v>
      </c>
      <c r="F73" s="2" t="s">
        <v>75</v>
      </c>
      <c r="G73" s="2">
        <v>22</v>
      </c>
      <c r="H73" s="2" t="s">
        <v>33</v>
      </c>
      <c r="I73" s="2" t="s">
        <v>24</v>
      </c>
      <c r="J73" s="3">
        <v>45184</v>
      </c>
      <c r="K73" s="2" t="s">
        <v>25</v>
      </c>
      <c r="L73" s="2" t="s">
        <v>26</v>
      </c>
      <c r="M73" s="2">
        <v>22</v>
      </c>
      <c r="N73" s="2">
        <v>123</v>
      </c>
      <c r="O73" s="2">
        <v>7380</v>
      </c>
      <c r="P73" s="2" t="s">
        <v>27</v>
      </c>
      <c r="Q73" s="4">
        <f>Table2[[#This Row],[Room Booked]]*Table2[[#This Row],[Price]]</f>
        <v>162360</v>
      </c>
      <c r="R73" s="4">
        <v>121770</v>
      </c>
    </row>
    <row r="74" spans="1:18" x14ac:dyDescent="0.25">
      <c r="A74" s="2">
        <v>2023</v>
      </c>
      <c r="B74" s="2" t="s">
        <v>57</v>
      </c>
      <c r="C74" s="2" t="s">
        <v>37</v>
      </c>
      <c r="D74" s="2" t="s">
        <v>38</v>
      </c>
      <c r="E74" s="2" t="s">
        <v>96</v>
      </c>
      <c r="F74" s="2" t="s">
        <v>77</v>
      </c>
      <c r="G74" s="2">
        <v>56</v>
      </c>
      <c r="H74" s="2" t="s">
        <v>23</v>
      </c>
      <c r="I74" s="2" t="s">
        <v>24</v>
      </c>
      <c r="J74" s="3">
        <v>45062</v>
      </c>
      <c r="K74" s="2" t="s">
        <v>42</v>
      </c>
      <c r="L74" s="2" t="s">
        <v>26</v>
      </c>
      <c r="M74" s="2">
        <v>25</v>
      </c>
      <c r="N74" s="2">
        <v>109</v>
      </c>
      <c r="O74" s="2">
        <v>42008</v>
      </c>
      <c r="P74" s="2" t="s">
        <v>35</v>
      </c>
      <c r="Q74" s="4">
        <f>Table2[[#This Row],[Room Booked]]*Table2[[#This Row],[Price]]</f>
        <v>1050200</v>
      </c>
      <c r="R74" s="4">
        <v>97668.599999999991</v>
      </c>
    </row>
    <row r="75" spans="1:18" x14ac:dyDescent="0.25">
      <c r="A75" s="2">
        <v>2023</v>
      </c>
      <c r="B75" s="2" t="s">
        <v>47</v>
      </c>
      <c r="C75" s="2" t="s">
        <v>37</v>
      </c>
      <c r="D75" s="2" t="s">
        <v>38</v>
      </c>
      <c r="E75" s="2" t="s">
        <v>96</v>
      </c>
      <c r="F75" s="2" t="s">
        <v>78</v>
      </c>
      <c r="G75" s="2">
        <v>56</v>
      </c>
      <c r="H75" s="2" t="s">
        <v>23</v>
      </c>
      <c r="I75" s="2" t="s">
        <v>24</v>
      </c>
      <c r="J75" s="3">
        <v>45262</v>
      </c>
      <c r="K75" s="2" t="s">
        <v>46</v>
      </c>
      <c r="L75" s="2" t="s">
        <v>43</v>
      </c>
      <c r="M75" s="2">
        <v>38</v>
      </c>
      <c r="N75" s="2">
        <v>113</v>
      </c>
      <c r="O75" s="2">
        <v>5517</v>
      </c>
      <c r="P75" s="2" t="s">
        <v>63</v>
      </c>
      <c r="Q75" s="4">
        <f>Table2[[#This Row],[Room Booked]]*Table2[[#This Row],[Price]]</f>
        <v>209646</v>
      </c>
      <c r="R75" s="4">
        <v>122477.4</v>
      </c>
    </row>
    <row r="76" spans="1:18" x14ac:dyDescent="0.25">
      <c r="A76" s="2">
        <v>2023</v>
      </c>
      <c r="B76" s="2" t="s">
        <v>69</v>
      </c>
      <c r="C76" s="2" t="s">
        <v>37</v>
      </c>
      <c r="D76" s="2" t="s">
        <v>38</v>
      </c>
      <c r="E76" s="2" t="s">
        <v>96</v>
      </c>
      <c r="F76" s="2" t="s">
        <v>79</v>
      </c>
      <c r="G76" s="2">
        <v>52</v>
      </c>
      <c r="H76" s="2" t="s">
        <v>33</v>
      </c>
      <c r="I76" s="2" t="s">
        <v>24</v>
      </c>
      <c r="J76" s="3">
        <v>45249</v>
      </c>
      <c r="K76" s="2" t="s">
        <v>46</v>
      </c>
      <c r="L76" s="2" t="s">
        <v>26</v>
      </c>
      <c r="M76" s="2">
        <v>24</v>
      </c>
      <c r="N76" s="2">
        <v>121</v>
      </c>
      <c r="O76" s="2">
        <v>8790</v>
      </c>
      <c r="P76" s="2" t="s">
        <v>35</v>
      </c>
      <c r="Q76" s="4">
        <f>Table2[[#This Row],[Room Booked]]*Table2[[#This Row],[Price]]</f>
        <v>210960</v>
      </c>
      <c r="R76" s="4">
        <v>152946</v>
      </c>
    </row>
    <row r="77" spans="1:18" x14ac:dyDescent="0.25">
      <c r="A77" s="2">
        <v>2023</v>
      </c>
      <c r="B77" s="2" t="s">
        <v>69</v>
      </c>
      <c r="C77" s="2" t="s">
        <v>37</v>
      </c>
      <c r="D77" s="2" t="s">
        <v>38</v>
      </c>
      <c r="E77" s="2" t="s">
        <v>96</v>
      </c>
      <c r="F77" s="2" t="s">
        <v>81</v>
      </c>
      <c r="G77" s="2">
        <v>64</v>
      </c>
      <c r="H77" s="2" t="s">
        <v>23</v>
      </c>
      <c r="I77" s="2" t="s">
        <v>24</v>
      </c>
      <c r="J77" s="3">
        <v>45243</v>
      </c>
      <c r="K77" s="2" t="s">
        <v>46</v>
      </c>
      <c r="L77" s="2" t="s">
        <v>43</v>
      </c>
      <c r="M77" s="2">
        <v>27</v>
      </c>
      <c r="N77" s="2">
        <v>118</v>
      </c>
      <c r="O77" s="2">
        <v>6681</v>
      </c>
      <c r="P77" s="2" t="s">
        <v>50</v>
      </c>
      <c r="Q77" s="4">
        <f>Table2[[#This Row],[Room Booked]]*Table2[[#This Row],[Price]]</f>
        <v>180387</v>
      </c>
      <c r="R77" s="4">
        <v>132283.79999999999</v>
      </c>
    </row>
    <row r="78" spans="1:18" x14ac:dyDescent="0.25">
      <c r="A78" s="2">
        <v>2023</v>
      </c>
      <c r="B78" s="2" t="s">
        <v>47</v>
      </c>
      <c r="C78" s="2" t="s">
        <v>37</v>
      </c>
      <c r="D78" s="2" t="s">
        <v>38</v>
      </c>
      <c r="E78" s="2" t="s">
        <v>96</v>
      </c>
      <c r="F78" s="2" t="s">
        <v>82</v>
      </c>
      <c r="G78" s="2">
        <v>22</v>
      </c>
      <c r="H78" s="2" t="s">
        <v>23</v>
      </c>
      <c r="I78" s="2" t="s">
        <v>24</v>
      </c>
      <c r="J78" s="3">
        <v>45291</v>
      </c>
      <c r="K78" s="2" t="s">
        <v>42</v>
      </c>
      <c r="L78" s="2" t="s">
        <v>43</v>
      </c>
      <c r="M78" s="2">
        <v>16</v>
      </c>
      <c r="N78" s="2">
        <v>104</v>
      </c>
      <c r="O78" s="2">
        <v>33680</v>
      </c>
      <c r="P78" s="2" t="s">
        <v>35</v>
      </c>
      <c r="Q78" s="4">
        <f>Table2[[#This Row],[Room Booked]]*Table2[[#This Row],[Price]]</f>
        <v>538880</v>
      </c>
      <c r="R78" s="4">
        <v>71991</v>
      </c>
    </row>
    <row r="79" spans="1:18" x14ac:dyDescent="0.25">
      <c r="A79" s="2">
        <v>2022</v>
      </c>
      <c r="B79" s="2" t="s">
        <v>18</v>
      </c>
      <c r="C79" s="2" t="s">
        <v>37</v>
      </c>
      <c r="D79" s="2" t="s">
        <v>38</v>
      </c>
      <c r="E79" s="2" t="s">
        <v>96</v>
      </c>
      <c r="F79" s="2" t="s">
        <v>83</v>
      </c>
      <c r="G79" s="2">
        <v>49</v>
      </c>
      <c r="H79" s="2" t="s">
        <v>33</v>
      </c>
      <c r="I79" s="2" t="s">
        <v>24</v>
      </c>
      <c r="J79" s="3">
        <v>44584</v>
      </c>
      <c r="K79" s="2" t="s">
        <v>80</v>
      </c>
      <c r="L79" s="2" t="s">
        <v>43</v>
      </c>
      <c r="M79" s="2">
        <v>37</v>
      </c>
      <c r="N79" s="2">
        <v>110</v>
      </c>
      <c r="O79" s="2">
        <v>161408</v>
      </c>
      <c r="P79" s="2" t="s">
        <v>27</v>
      </c>
      <c r="Q79" s="4">
        <f>Table2[[#This Row],[Room Booked]]*Table2[[#This Row],[Price]]</f>
        <v>5972096</v>
      </c>
      <c r="R79" s="4">
        <v>43882.799999999996</v>
      </c>
    </row>
    <row r="80" spans="1:18" x14ac:dyDescent="0.25">
      <c r="A80" s="2">
        <v>2023</v>
      </c>
      <c r="B80" s="2" t="s">
        <v>53</v>
      </c>
      <c r="C80" s="2" t="s">
        <v>37</v>
      </c>
      <c r="D80" s="2" t="s">
        <v>38</v>
      </c>
      <c r="E80" s="2" t="s">
        <v>96</v>
      </c>
      <c r="F80" s="2" t="s">
        <v>84</v>
      </c>
      <c r="G80" s="2">
        <v>46</v>
      </c>
      <c r="H80" s="2" t="s">
        <v>33</v>
      </c>
      <c r="I80" s="2" t="s">
        <v>24</v>
      </c>
      <c r="J80" s="3">
        <v>44989</v>
      </c>
      <c r="K80" s="2" t="s">
        <v>49</v>
      </c>
      <c r="L80" s="2" t="s">
        <v>43</v>
      </c>
      <c r="M80" s="2">
        <v>22</v>
      </c>
      <c r="N80" s="2">
        <v>81</v>
      </c>
      <c r="O80" s="2">
        <v>114744</v>
      </c>
      <c r="P80" s="2" t="s">
        <v>27</v>
      </c>
      <c r="Q80" s="4">
        <f>Table2[[#This Row],[Room Booked]]*Table2[[#This Row],[Price]]</f>
        <v>2524368</v>
      </c>
      <c r="R80" s="4">
        <v>58806.299999999996</v>
      </c>
    </row>
    <row r="81" spans="1:18" x14ac:dyDescent="0.25">
      <c r="A81" s="2">
        <v>2023</v>
      </c>
      <c r="B81" s="2" t="s">
        <v>51</v>
      </c>
      <c r="C81" s="2" t="s">
        <v>29</v>
      </c>
      <c r="D81" s="2" t="s">
        <v>20</v>
      </c>
      <c r="E81" s="2" t="s">
        <v>97</v>
      </c>
      <c r="F81" s="2" t="s">
        <v>85</v>
      </c>
      <c r="G81" s="2">
        <v>60</v>
      </c>
      <c r="H81" s="2" t="s">
        <v>33</v>
      </c>
      <c r="I81" s="2" t="s">
        <v>24</v>
      </c>
      <c r="J81" s="3">
        <v>45171</v>
      </c>
      <c r="K81" s="2" t="s">
        <v>49</v>
      </c>
      <c r="L81" s="2" t="s">
        <v>34</v>
      </c>
      <c r="M81" s="2">
        <v>43</v>
      </c>
      <c r="N81" s="2">
        <v>104</v>
      </c>
      <c r="O81" s="2">
        <v>93888</v>
      </c>
      <c r="P81" s="2" t="s">
        <v>63</v>
      </c>
      <c r="Q81" s="4">
        <f>Table2[[#This Row],[Room Booked]]*Table2[[#This Row],[Price]]</f>
        <v>4037184</v>
      </c>
      <c r="R81" s="4">
        <v>96235.199999999997</v>
      </c>
    </row>
    <row r="82" spans="1:18" x14ac:dyDescent="0.25">
      <c r="A82" s="2">
        <v>2022</v>
      </c>
      <c r="B82" s="2" t="s">
        <v>55</v>
      </c>
      <c r="C82" s="2" t="s">
        <v>94</v>
      </c>
      <c r="D82" s="2" t="s">
        <v>20</v>
      </c>
      <c r="E82" s="2" t="s">
        <v>97</v>
      </c>
      <c r="F82" s="2" t="s">
        <v>86</v>
      </c>
      <c r="G82" s="2">
        <v>56</v>
      </c>
      <c r="H82" s="2" t="s">
        <v>33</v>
      </c>
      <c r="I82" s="2" t="s">
        <v>41</v>
      </c>
      <c r="J82" s="3">
        <v>44786</v>
      </c>
      <c r="K82" s="2" t="s">
        <v>65</v>
      </c>
      <c r="L82" s="2" t="s">
        <v>34</v>
      </c>
      <c r="M82" s="2">
        <v>20</v>
      </c>
      <c r="N82" s="2">
        <v>93</v>
      </c>
      <c r="O82" s="2">
        <v>2344</v>
      </c>
      <c r="P82" s="2" t="s">
        <v>27</v>
      </c>
      <c r="Q82" s="4">
        <f>Table2[[#This Row],[Room Booked]]*Table2[[#This Row],[Price]]</f>
        <v>46880</v>
      </c>
      <c r="R82" s="4">
        <v>44301.599999999999</v>
      </c>
    </row>
    <row r="83" spans="1:18" x14ac:dyDescent="0.25">
      <c r="A83" s="2">
        <v>2023</v>
      </c>
      <c r="B83" s="2" t="s">
        <v>55</v>
      </c>
      <c r="C83" s="2" t="s">
        <v>91</v>
      </c>
      <c r="D83" s="2" t="s">
        <v>20</v>
      </c>
      <c r="E83" s="2" t="s">
        <v>97</v>
      </c>
      <c r="F83" s="2" t="s">
        <v>88</v>
      </c>
      <c r="G83" s="2">
        <v>26</v>
      </c>
      <c r="H83" s="2" t="s">
        <v>33</v>
      </c>
      <c r="I83" s="2" t="s">
        <v>41</v>
      </c>
      <c r="J83" s="3">
        <v>45148</v>
      </c>
      <c r="K83" s="2" t="s">
        <v>25</v>
      </c>
      <c r="L83" s="2" t="s">
        <v>26</v>
      </c>
      <c r="M83" s="2">
        <v>28</v>
      </c>
      <c r="N83" s="2">
        <v>119</v>
      </c>
      <c r="O83" s="2">
        <v>7802</v>
      </c>
      <c r="P83" s="2" t="s">
        <v>27</v>
      </c>
      <c r="Q83" s="4">
        <f>Table2[[#This Row],[Room Booked]]*Table2[[#This Row],[Price]]</f>
        <v>218456</v>
      </c>
      <c r="R83" s="4">
        <v>16384.2</v>
      </c>
    </row>
    <row r="84" spans="1:18" x14ac:dyDescent="0.25">
      <c r="A84" s="2">
        <v>2023</v>
      </c>
      <c r="B84" s="2" t="s">
        <v>76</v>
      </c>
      <c r="C84" s="2" t="s">
        <v>37</v>
      </c>
      <c r="D84" s="2" t="s">
        <v>20</v>
      </c>
      <c r="E84" s="2" t="s">
        <v>97</v>
      </c>
      <c r="F84" s="2" t="s">
        <v>89</v>
      </c>
      <c r="G84" s="2">
        <v>62</v>
      </c>
      <c r="H84" s="2" t="s">
        <v>23</v>
      </c>
      <c r="I84" s="2" t="s">
        <v>24</v>
      </c>
      <c r="J84" s="3">
        <v>45125</v>
      </c>
      <c r="K84" s="2" t="s">
        <v>42</v>
      </c>
      <c r="L84" s="2" t="s">
        <v>43</v>
      </c>
      <c r="M84" s="2">
        <v>24</v>
      </c>
      <c r="N84" s="2">
        <v>104</v>
      </c>
      <c r="O84" s="2">
        <v>26616</v>
      </c>
      <c r="P84" s="2" t="s">
        <v>27</v>
      </c>
      <c r="Q84" s="4">
        <f>Table2[[#This Row],[Room Booked]]*Table2[[#This Row],[Price]]</f>
        <v>638784</v>
      </c>
      <c r="R84" s="4">
        <v>58887.9</v>
      </c>
    </row>
    <row r="85" spans="1:18" x14ac:dyDescent="0.25">
      <c r="A85" s="2">
        <v>2022</v>
      </c>
      <c r="B85" s="2" t="s">
        <v>53</v>
      </c>
      <c r="C85" s="2" t="s">
        <v>37</v>
      </c>
      <c r="D85" s="2" t="s">
        <v>20</v>
      </c>
      <c r="E85" s="2" t="s">
        <v>97</v>
      </c>
      <c r="F85" s="2" t="s">
        <v>90</v>
      </c>
      <c r="G85" s="2">
        <v>40</v>
      </c>
      <c r="H85" s="2" t="s">
        <v>33</v>
      </c>
      <c r="I85" s="2" t="s">
        <v>41</v>
      </c>
      <c r="J85" s="3">
        <v>44629</v>
      </c>
      <c r="K85" s="2" t="s">
        <v>25</v>
      </c>
      <c r="L85" s="2" t="s">
        <v>26</v>
      </c>
      <c r="M85" s="2">
        <v>32</v>
      </c>
      <c r="N85" s="2">
        <v>118</v>
      </c>
      <c r="O85" s="2">
        <v>9387</v>
      </c>
      <c r="P85" s="2" t="s">
        <v>63</v>
      </c>
      <c r="Q85" s="4">
        <f>Table2[[#This Row],[Room Booked]]*Table2[[#This Row],[Price]]</f>
        <v>300384</v>
      </c>
      <c r="R85" s="4">
        <v>67586.399999999994</v>
      </c>
    </row>
    <row r="86" spans="1:18" x14ac:dyDescent="0.25">
      <c r="A86" s="2">
        <v>2022</v>
      </c>
      <c r="B86" s="2" t="s">
        <v>47</v>
      </c>
      <c r="C86" s="2" t="s">
        <v>19</v>
      </c>
      <c r="D86" s="2" t="s">
        <v>20</v>
      </c>
      <c r="E86" s="2" t="s">
        <v>97</v>
      </c>
      <c r="F86" s="2" t="s">
        <v>22</v>
      </c>
      <c r="G86" s="2">
        <v>35</v>
      </c>
      <c r="H86" s="2" t="s">
        <v>33</v>
      </c>
      <c r="I86" s="2" t="s">
        <v>24</v>
      </c>
      <c r="J86" s="3">
        <v>44907</v>
      </c>
      <c r="K86" s="2" t="s">
        <v>49</v>
      </c>
      <c r="L86" s="2" t="s">
        <v>34</v>
      </c>
      <c r="M86" s="2">
        <v>26</v>
      </c>
      <c r="N86" s="2">
        <v>119</v>
      </c>
      <c r="O86" s="2">
        <v>116352</v>
      </c>
      <c r="P86" s="2" t="s">
        <v>50</v>
      </c>
      <c r="Q86" s="4">
        <f>Table2[[#This Row],[Room Booked]]*Table2[[#This Row],[Price]]</f>
        <v>3025152</v>
      </c>
      <c r="R86" s="4">
        <v>91627.199999999997</v>
      </c>
    </row>
    <row r="87" spans="1:18" x14ac:dyDescent="0.25">
      <c r="A87" s="2">
        <v>2022</v>
      </c>
      <c r="B87" s="2" t="s">
        <v>47</v>
      </c>
      <c r="C87" s="2" t="s">
        <v>87</v>
      </c>
      <c r="D87" s="2" t="s">
        <v>20</v>
      </c>
      <c r="E87" s="2" t="s">
        <v>97</v>
      </c>
      <c r="F87" s="2" t="s">
        <v>32</v>
      </c>
      <c r="G87" s="2">
        <v>63</v>
      </c>
      <c r="H87" s="2" t="s">
        <v>33</v>
      </c>
      <c r="I87" s="2" t="s">
        <v>24</v>
      </c>
      <c r="J87" s="3">
        <v>44926</v>
      </c>
      <c r="K87" s="2" t="s">
        <v>49</v>
      </c>
      <c r="L87" s="2" t="s">
        <v>43</v>
      </c>
      <c r="M87" s="2">
        <v>38</v>
      </c>
      <c r="N87" s="2">
        <v>115</v>
      </c>
      <c r="O87" s="2">
        <v>132480</v>
      </c>
      <c r="P87" s="2" t="s">
        <v>27</v>
      </c>
      <c r="Q87" s="4">
        <f>Table2[[#This Row],[Room Booked]]*Table2[[#This Row],[Price]]</f>
        <v>5034240</v>
      </c>
      <c r="R87" s="4">
        <v>157320</v>
      </c>
    </row>
    <row r="88" spans="1:18" x14ac:dyDescent="0.25">
      <c r="A88" s="2">
        <v>2022</v>
      </c>
      <c r="B88" s="2" t="s">
        <v>57</v>
      </c>
      <c r="C88" s="2" t="s">
        <v>70</v>
      </c>
      <c r="D88" s="2" t="s">
        <v>20</v>
      </c>
      <c r="E88" s="2" t="s">
        <v>97</v>
      </c>
      <c r="F88" s="2" t="s">
        <v>40</v>
      </c>
      <c r="G88" s="2">
        <v>37</v>
      </c>
      <c r="H88" s="2" t="s">
        <v>33</v>
      </c>
      <c r="I88" s="2" t="s">
        <v>24</v>
      </c>
      <c r="J88" s="3">
        <v>44701</v>
      </c>
      <c r="K88" s="2" t="s">
        <v>80</v>
      </c>
      <c r="L88" s="2" t="s">
        <v>34</v>
      </c>
      <c r="M88" s="2">
        <v>38</v>
      </c>
      <c r="N88" s="2">
        <v>115</v>
      </c>
      <c r="O88" s="2">
        <v>241984</v>
      </c>
      <c r="P88" s="2" t="s">
        <v>27</v>
      </c>
      <c r="Q88" s="4">
        <f>Table2[[#This Row],[Room Booked]]*Table2[[#This Row],[Price]]</f>
        <v>9195392</v>
      </c>
      <c r="R88" s="4">
        <v>215517</v>
      </c>
    </row>
    <row r="89" spans="1:18" x14ac:dyDescent="0.25">
      <c r="A89" s="2">
        <v>2022</v>
      </c>
      <c r="B89" s="2" t="s">
        <v>28</v>
      </c>
      <c r="C89" s="2" t="s">
        <v>87</v>
      </c>
      <c r="D89" s="2" t="s">
        <v>20</v>
      </c>
      <c r="E89" s="2" t="s">
        <v>97</v>
      </c>
      <c r="F89" s="2" t="s">
        <v>45</v>
      </c>
      <c r="G89" s="2">
        <v>40</v>
      </c>
      <c r="H89" s="2" t="s">
        <v>33</v>
      </c>
      <c r="I89" s="2" t="s">
        <v>24</v>
      </c>
      <c r="J89" s="3">
        <v>44667</v>
      </c>
      <c r="K89" s="2" t="s">
        <v>49</v>
      </c>
      <c r="L89" s="2" t="s">
        <v>26</v>
      </c>
      <c r="M89" s="2">
        <v>29</v>
      </c>
      <c r="N89" s="2">
        <v>97</v>
      </c>
      <c r="O89" s="2">
        <v>116568</v>
      </c>
      <c r="P89" s="2" t="s">
        <v>27</v>
      </c>
      <c r="Q89" s="4">
        <f>Table2[[#This Row],[Room Booked]]*Table2[[#This Row],[Price]]</f>
        <v>3380472</v>
      </c>
      <c r="R89" s="4">
        <v>104911.2</v>
      </c>
    </row>
    <row r="90" spans="1:18" x14ac:dyDescent="0.25">
      <c r="A90" s="2">
        <v>2023</v>
      </c>
      <c r="B90" s="2" t="s">
        <v>55</v>
      </c>
      <c r="C90" s="2" t="s">
        <v>91</v>
      </c>
      <c r="D90" s="2" t="s">
        <v>20</v>
      </c>
      <c r="E90" s="2" t="s">
        <v>97</v>
      </c>
      <c r="F90" s="2" t="s">
        <v>48</v>
      </c>
      <c r="G90" s="2">
        <v>33</v>
      </c>
      <c r="H90" s="2" t="s">
        <v>33</v>
      </c>
      <c r="I90" s="2" t="s">
        <v>41</v>
      </c>
      <c r="J90" s="3">
        <v>45150</v>
      </c>
      <c r="K90" s="2" t="s">
        <v>49</v>
      </c>
      <c r="L90" s="2" t="s">
        <v>26</v>
      </c>
      <c r="M90" s="2">
        <v>22</v>
      </c>
      <c r="N90" s="2">
        <v>80</v>
      </c>
      <c r="O90" s="2">
        <v>53736</v>
      </c>
      <c r="P90" s="2" t="s">
        <v>50</v>
      </c>
      <c r="Q90" s="4">
        <f>Table2[[#This Row],[Room Booked]]*Table2[[#This Row],[Price]]</f>
        <v>1182192</v>
      </c>
      <c r="R90" s="4">
        <v>36943.5</v>
      </c>
    </row>
    <row r="91" spans="1:18" x14ac:dyDescent="0.25">
      <c r="A91" s="2">
        <v>2023</v>
      </c>
      <c r="B91" s="2" t="s">
        <v>57</v>
      </c>
      <c r="C91" s="2" t="s">
        <v>19</v>
      </c>
      <c r="D91" s="2" t="s">
        <v>20</v>
      </c>
      <c r="E91" s="2" t="s">
        <v>97</v>
      </c>
      <c r="F91" s="2" t="s">
        <v>52</v>
      </c>
      <c r="G91" s="2">
        <v>31</v>
      </c>
      <c r="H91" s="2" t="s">
        <v>33</v>
      </c>
      <c r="I91" s="2" t="s">
        <v>41</v>
      </c>
      <c r="J91" s="3">
        <v>45070</v>
      </c>
      <c r="K91" s="2" t="s">
        <v>68</v>
      </c>
      <c r="L91" s="2" t="s">
        <v>43</v>
      </c>
      <c r="M91" s="2">
        <v>10</v>
      </c>
      <c r="N91" s="2">
        <v>117</v>
      </c>
      <c r="O91" s="2">
        <v>219168</v>
      </c>
      <c r="P91" s="2" t="s">
        <v>63</v>
      </c>
      <c r="Q91" s="4">
        <f>Table2[[#This Row],[Room Booked]]*Table2[[#This Row],[Price]]</f>
        <v>2191680</v>
      </c>
      <c r="R91" s="4">
        <v>17122.5</v>
      </c>
    </row>
    <row r="92" spans="1:18" x14ac:dyDescent="0.25">
      <c r="A92" s="2">
        <v>2023</v>
      </c>
      <c r="B92" s="2" t="s">
        <v>53</v>
      </c>
      <c r="C92" s="2" t="s">
        <v>94</v>
      </c>
      <c r="D92" s="2" t="s">
        <v>20</v>
      </c>
      <c r="E92" s="2" t="s">
        <v>97</v>
      </c>
      <c r="F92" s="2" t="s">
        <v>54</v>
      </c>
      <c r="G92" s="2">
        <v>72</v>
      </c>
      <c r="H92" s="2" t="s">
        <v>23</v>
      </c>
      <c r="I92" s="2" t="s">
        <v>24</v>
      </c>
      <c r="J92" s="3">
        <v>44999</v>
      </c>
      <c r="K92" s="2" t="s">
        <v>46</v>
      </c>
      <c r="L92" s="2" t="s">
        <v>34</v>
      </c>
      <c r="M92" s="2">
        <v>4</v>
      </c>
      <c r="N92" s="2">
        <v>89</v>
      </c>
      <c r="O92" s="2">
        <v>2398</v>
      </c>
      <c r="P92" s="2" t="s">
        <v>35</v>
      </c>
      <c r="Q92" s="4">
        <f>Table2[[#This Row],[Room Booked]]*Table2[[#This Row],[Price]]</f>
        <v>9592</v>
      </c>
      <c r="R92" s="4">
        <v>5755.2</v>
      </c>
    </row>
    <row r="93" spans="1:18" x14ac:dyDescent="0.25">
      <c r="A93" s="2">
        <v>2022</v>
      </c>
      <c r="B93" s="2" t="s">
        <v>53</v>
      </c>
      <c r="C93" s="2" t="s">
        <v>19</v>
      </c>
      <c r="D93" s="2" t="s">
        <v>92</v>
      </c>
      <c r="E93" s="2" t="s">
        <v>98</v>
      </c>
      <c r="F93" s="2" t="s">
        <v>56</v>
      </c>
      <c r="G93" s="2">
        <v>64</v>
      </c>
      <c r="H93" s="2" t="s">
        <v>23</v>
      </c>
      <c r="I93" s="2" t="s">
        <v>24</v>
      </c>
      <c r="J93" s="3">
        <v>44646</v>
      </c>
      <c r="K93" s="2" t="s">
        <v>25</v>
      </c>
      <c r="L93" s="2" t="s">
        <v>34</v>
      </c>
      <c r="M93" s="2">
        <v>26</v>
      </c>
      <c r="N93" s="2">
        <v>114</v>
      </c>
      <c r="O93" s="2">
        <v>3976</v>
      </c>
      <c r="P93" s="2" t="s">
        <v>50</v>
      </c>
      <c r="Q93" s="4">
        <f>Table2[[#This Row],[Room Booked]]*Table2[[#This Row],[Price]]</f>
        <v>103376</v>
      </c>
      <c r="R93" s="4">
        <v>75146.399999999994</v>
      </c>
    </row>
    <row r="94" spans="1:18" x14ac:dyDescent="0.25">
      <c r="A94" s="2">
        <v>2022</v>
      </c>
      <c r="B94" s="2" t="s">
        <v>55</v>
      </c>
      <c r="C94" s="2" t="s">
        <v>29</v>
      </c>
      <c r="D94" s="2" t="s">
        <v>92</v>
      </c>
      <c r="E94" s="2" t="s">
        <v>98</v>
      </c>
      <c r="F94" s="2" t="s">
        <v>58</v>
      </c>
      <c r="G94" s="2">
        <v>22</v>
      </c>
      <c r="H94" s="2" t="s">
        <v>33</v>
      </c>
      <c r="I94" s="2" t="s">
        <v>41</v>
      </c>
      <c r="J94" s="3">
        <v>44782</v>
      </c>
      <c r="K94" s="2" t="s">
        <v>42</v>
      </c>
      <c r="L94" s="2" t="s">
        <v>26</v>
      </c>
      <c r="M94" s="2">
        <v>38</v>
      </c>
      <c r="N94" s="2">
        <v>105</v>
      </c>
      <c r="O94" s="2">
        <v>35248</v>
      </c>
      <c r="P94" s="2" t="s">
        <v>35</v>
      </c>
      <c r="Q94" s="4">
        <f>Table2[[#This Row],[Room Booked]]*Table2[[#This Row],[Price]]</f>
        <v>1339424</v>
      </c>
      <c r="R94" s="4">
        <v>91204.2</v>
      </c>
    </row>
    <row r="95" spans="1:18" x14ac:dyDescent="0.25">
      <c r="A95" s="2">
        <v>2023</v>
      </c>
      <c r="B95" s="2" t="s">
        <v>57</v>
      </c>
      <c r="C95" s="2" t="s">
        <v>37</v>
      </c>
      <c r="D95" s="2" t="s">
        <v>92</v>
      </c>
      <c r="E95" s="2" t="s">
        <v>98</v>
      </c>
      <c r="F95" s="2" t="s">
        <v>62</v>
      </c>
      <c r="G95" s="2">
        <v>49</v>
      </c>
      <c r="H95" s="2" t="s">
        <v>23</v>
      </c>
      <c r="I95" s="2" t="s">
        <v>24</v>
      </c>
      <c r="J95" s="3">
        <v>45062</v>
      </c>
      <c r="K95" s="2" t="s">
        <v>42</v>
      </c>
      <c r="L95" s="2" t="s">
        <v>26</v>
      </c>
      <c r="M95" s="2">
        <v>25</v>
      </c>
      <c r="N95" s="2">
        <v>109</v>
      </c>
      <c r="O95" s="2">
        <v>42008</v>
      </c>
      <c r="P95" s="2" t="s">
        <v>35</v>
      </c>
      <c r="Q95" s="4">
        <f>Table2[[#This Row],[Room Booked]]*Table2[[#This Row],[Price]]</f>
        <v>1050200</v>
      </c>
      <c r="R95" s="4">
        <v>97668.599999999991</v>
      </c>
    </row>
    <row r="96" spans="1:18" x14ac:dyDescent="0.25">
      <c r="A96" s="2">
        <v>2022</v>
      </c>
      <c r="B96" s="2" t="s">
        <v>18</v>
      </c>
      <c r="C96" s="2" t="s">
        <v>59</v>
      </c>
      <c r="D96" s="2" t="s">
        <v>92</v>
      </c>
      <c r="E96" s="2" t="s">
        <v>98</v>
      </c>
      <c r="F96" s="2" t="s">
        <v>64</v>
      </c>
      <c r="G96" s="2">
        <v>46</v>
      </c>
      <c r="H96" s="2" t="s">
        <v>23</v>
      </c>
      <c r="I96" s="2" t="s">
        <v>24</v>
      </c>
      <c r="J96" s="3">
        <v>44576</v>
      </c>
      <c r="K96" s="2" t="s">
        <v>49</v>
      </c>
      <c r="L96" s="2" t="s">
        <v>34</v>
      </c>
      <c r="M96" s="2">
        <v>16</v>
      </c>
      <c r="N96" s="2">
        <v>99</v>
      </c>
      <c r="O96" s="2">
        <v>220104</v>
      </c>
      <c r="P96" s="2" t="s">
        <v>63</v>
      </c>
      <c r="Q96" s="4">
        <f>Table2[[#This Row],[Room Booked]]*Table2[[#This Row],[Price]]</f>
        <v>3521664</v>
      </c>
      <c r="R96" s="4">
        <v>104549.4</v>
      </c>
    </row>
    <row r="97" spans="1:18" x14ac:dyDescent="0.25">
      <c r="A97" s="2">
        <v>2022</v>
      </c>
      <c r="B97" s="2" t="s">
        <v>44</v>
      </c>
      <c r="C97" s="2" t="s">
        <v>19</v>
      </c>
      <c r="D97" s="2" t="s">
        <v>92</v>
      </c>
      <c r="E97" s="2" t="s">
        <v>98</v>
      </c>
      <c r="F97" s="2" t="s">
        <v>66</v>
      </c>
      <c r="G97" s="2">
        <v>38</v>
      </c>
      <c r="H97" s="2" t="s">
        <v>23</v>
      </c>
      <c r="I97" s="2" t="s">
        <v>24</v>
      </c>
      <c r="J97" s="3">
        <v>44850</v>
      </c>
      <c r="K97" s="2" t="s">
        <v>65</v>
      </c>
      <c r="L97" s="2" t="s">
        <v>34</v>
      </c>
      <c r="M97" s="2">
        <v>38</v>
      </c>
      <c r="N97" s="2">
        <v>115</v>
      </c>
      <c r="O97" s="2">
        <v>9707</v>
      </c>
      <c r="P97" s="2" t="s">
        <v>63</v>
      </c>
      <c r="Q97" s="4">
        <f>Table2[[#This Row],[Room Booked]]*Table2[[#This Row],[Price]]</f>
        <v>368866</v>
      </c>
      <c r="R97" s="4">
        <v>270825.3</v>
      </c>
    </row>
    <row r="98" spans="1:18" x14ac:dyDescent="0.25">
      <c r="A98" s="2">
        <v>2023</v>
      </c>
      <c r="B98" s="2" t="s">
        <v>51</v>
      </c>
      <c r="C98" s="2" t="s">
        <v>19</v>
      </c>
      <c r="D98" s="2" t="s">
        <v>92</v>
      </c>
      <c r="E98" s="2" t="s">
        <v>98</v>
      </c>
      <c r="F98" s="2" t="s">
        <v>67</v>
      </c>
      <c r="G98" s="2">
        <v>45</v>
      </c>
      <c r="H98" s="2" t="s">
        <v>23</v>
      </c>
      <c r="I98" s="2" t="s">
        <v>24</v>
      </c>
      <c r="J98" s="3">
        <v>45182</v>
      </c>
      <c r="K98" s="2" t="s">
        <v>25</v>
      </c>
      <c r="L98" s="2" t="s">
        <v>34</v>
      </c>
      <c r="M98" s="2">
        <v>24</v>
      </c>
      <c r="N98" s="2">
        <v>80</v>
      </c>
      <c r="O98" s="2">
        <v>340</v>
      </c>
      <c r="P98" s="2" t="s">
        <v>27</v>
      </c>
      <c r="Q98" s="4">
        <f>Table2[[#This Row],[Room Booked]]*Table2[[#This Row],[Price]]</f>
        <v>8160</v>
      </c>
      <c r="R98" s="4">
        <v>6018</v>
      </c>
    </row>
    <row r="99" spans="1:18" x14ac:dyDescent="0.25">
      <c r="A99" s="2">
        <v>2023</v>
      </c>
      <c r="B99" s="2" t="s">
        <v>36</v>
      </c>
      <c r="C99" s="2" t="s">
        <v>29</v>
      </c>
      <c r="D99" s="2" t="s">
        <v>92</v>
      </c>
      <c r="E99" s="2" t="s">
        <v>98</v>
      </c>
      <c r="F99" s="2" t="s">
        <v>73</v>
      </c>
      <c r="G99" s="2">
        <v>35</v>
      </c>
      <c r="H99" s="2" t="s">
        <v>33</v>
      </c>
      <c r="I99" s="2" t="s">
        <v>41</v>
      </c>
      <c r="J99" s="3">
        <v>45095</v>
      </c>
      <c r="K99" s="2" t="s">
        <v>68</v>
      </c>
      <c r="L99" s="2" t="s">
        <v>26</v>
      </c>
      <c r="M99" s="2">
        <v>27</v>
      </c>
      <c r="N99" s="2">
        <v>109</v>
      </c>
      <c r="O99" s="2">
        <v>76704</v>
      </c>
      <c r="P99" s="2" t="s">
        <v>50</v>
      </c>
      <c r="Q99" s="4">
        <f>Table2[[#This Row],[Room Booked]]*Table2[[#This Row],[Price]]</f>
        <v>2071008</v>
      </c>
      <c r="R99" s="4">
        <v>86702.7</v>
      </c>
    </row>
    <row r="100" spans="1:18" x14ac:dyDescent="0.25">
      <c r="A100" s="2">
        <v>2022</v>
      </c>
      <c r="B100" s="2" t="s">
        <v>69</v>
      </c>
      <c r="C100" s="2" t="s">
        <v>70</v>
      </c>
      <c r="D100" s="2" t="s">
        <v>92</v>
      </c>
      <c r="E100" s="2" t="s">
        <v>98</v>
      </c>
      <c r="F100" s="2" t="s">
        <v>74</v>
      </c>
      <c r="G100" s="2">
        <v>56</v>
      </c>
      <c r="H100" s="2" t="s">
        <v>23</v>
      </c>
      <c r="I100" s="2" t="s">
        <v>41</v>
      </c>
      <c r="J100" s="3">
        <v>44892</v>
      </c>
      <c r="K100" s="2" t="s">
        <v>49</v>
      </c>
      <c r="L100" s="2" t="s">
        <v>43</v>
      </c>
      <c r="M100" s="2">
        <v>34</v>
      </c>
      <c r="N100" s="2">
        <v>96</v>
      </c>
      <c r="O100" s="2">
        <v>17304</v>
      </c>
      <c r="P100" s="2" t="s">
        <v>27</v>
      </c>
      <c r="Q100" s="4">
        <f>Table2[[#This Row],[Room Booked]]*Table2[[#This Row],[Price]]</f>
        <v>588336</v>
      </c>
      <c r="R100" s="4">
        <v>17952.899999999998</v>
      </c>
    </row>
    <row r="101" spans="1:18" x14ac:dyDescent="0.25">
      <c r="A101" s="2">
        <v>2023</v>
      </c>
      <c r="B101" s="2" t="s">
        <v>44</v>
      </c>
      <c r="C101" s="2" t="s">
        <v>19</v>
      </c>
      <c r="D101" s="2" t="s">
        <v>92</v>
      </c>
      <c r="E101" s="2" t="s">
        <v>98</v>
      </c>
      <c r="F101" s="2" t="s">
        <v>75</v>
      </c>
      <c r="G101" s="2">
        <v>56</v>
      </c>
      <c r="H101" s="2" t="s">
        <v>23</v>
      </c>
      <c r="I101" s="2" t="s">
        <v>24</v>
      </c>
      <c r="J101" s="3">
        <v>45202</v>
      </c>
      <c r="K101" s="2" t="s">
        <v>49</v>
      </c>
      <c r="L101" s="2" t="s">
        <v>26</v>
      </c>
      <c r="M101" s="2">
        <v>14</v>
      </c>
      <c r="N101" s="2">
        <v>105</v>
      </c>
      <c r="O101" s="2">
        <v>155856</v>
      </c>
      <c r="P101" s="2" t="s">
        <v>27</v>
      </c>
      <c r="Q101" s="4">
        <f>Table2[[#This Row],[Room Booked]]*Table2[[#This Row],[Price]]</f>
        <v>2181984</v>
      </c>
      <c r="R101" s="4">
        <v>64290.6</v>
      </c>
    </row>
    <row r="102" spans="1:18" x14ac:dyDescent="0.25">
      <c r="A102" s="2">
        <v>2022</v>
      </c>
      <c r="B102" s="2" t="s">
        <v>44</v>
      </c>
      <c r="C102" s="2" t="s">
        <v>19</v>
      </c>
      <c r="D102" s="2" t="s">
        <v>92</v>
      </c>
      <c r="E102" s="2" t="s">
        <v>98</v>
      </c>
      <c r="F102" s="2" t="s">
        <v>77</v>
      </c>
      <c r="G102" s="2">
        <v>55</v>
      </c>
      <c r="H102" s="2" t="s">
        <v>23</v>
      </c>
      <c r="I102" s="2" t="s">
        <v>24</v>
      </c>
      <c r="J102" s="3">
        <v>44860</v>
      </c>
      <c r="K102" s="2" t="s">
        <v>65</v>
      </c>
      <c r="L102" s="2" t="s">
        <v>34</v>
      </c>
      <c r="M102" s="2">
        <v>21</v>
      </c>
      <c r="N102" s="2">
        <v>92</v>
      </c>
      <c r="O102" s="2">
        <v>1945</v>
      </c>
      <c r="P102" s="2" t="s">
        <v>50</v>
      </c>
      <c r="Q102" s="4">
        <f>Table2[[#This Row],[Room Booked]]*Table2[[#This Row],[Price]]</f>
        <v>40845</v>
      </c>
      <c r="R102" s="4">
        <v>19255.5</v>
      </c>
    </row>
    <row r="103" spans="1:18" x14ac:dyDescent="0.25">
      <c r="A103" s="2">
        <v>2023</v>
      </c>
      <c r="B103" s="2" t="s">
        <v>76</v>
      </c>
      <c r="C103" s="2" t="s">
        <v>70</v>
      </c>
      <c r="D103" s="2" t="s">
        <v>92</v>
      </c>
      <c r="E103" s="2" t="s">
        <v>98</v>
      </c>
      <c r="F103" s="2" t="s">
        <v>78</v>
      </c>
      <c r="G103" s="2">
        <v>19</v>
      </c>
      <c r="H103" s="2" t="s">
        <v>23</v>
      </c>
      <c r="I103" s="2" t="s">
        <v>41</v>
      </c>
      <c r="J103" s="3">
        <v>45138</v>
      </c>
      <c r="K103" s="2" t="s">
        <v>42</v>
      </c>
      <c r="L103" s="2" t="s">
        <v>43</v>
      </c>
      <c r="M103" s="2">
        <v>16</v>
      </c>
      <c r="N103" s="2">
        <v>110</v>
      </c>
      <c r="O103" s="2">
        <v>75528</v>
      </c>
      <c r="P103" s="2" t="s">
        <v>63</v>
      </c>
      <c r="Q103" s="4">
        <f>Table2[[#This Row],[Room Booked]]*Table2[[#This Row],[Price]]</f>
        <v>1208448</v>
      </c>
      <c r="R103" s="4">
        <v>107627.4</v>
      </c>
    </row>
    <row r="104" spans="1:18" x14ac:dyDescent="0.25">
      <c r="A104" s="2">
        <v>2022</v>
      </c>
      <c r="B104" s="2" t="s">
        <v>51</v>
      </c>
      <c r="C104" s="2" t="s">
        <v>59</v>
      </c>
      <c r="D104" s="2" t="s">
        <v>92</v>
      </c>
      <c r="E104" s="2" t="s">
        <v>98</v>
      </c>
      <c r="F104" s="2" t="s">
        <v>79</v>
      </c>
      <c r="G104" s="2">
        <v>58</v>
      </c>
      <c r="H104" s="2" t="s">
        <v>23</v>
      </c>
      <c r="I104" s="2" t="s">
        <v>24</v>
      </c>
      <c r="J104" s="3">
        <v>44811</v>
      </c>
      <c r="K104" s="2" t="s">
        <v>65</v>
      </c>
      <c r="L104" s="2" t="s">
        <v>34</v>
      </c>
      <c r="M104" s="2">
        <v>4</v>
      </c>
      <c r="N104" s="2">
        <v>119</v>
      </c>
      <c r="O104" s="2">
        <v>1683</v>
      </c>
      <c r="P104" s="2" t="s">
        <v>63</v>
      </c>
      <c r="Q104" s="4">
        <f>Table2[[#This Row],[Room Booked]]*Table2[[#This Row],[Price]]</f>
        <v>6732</v>
      </c>
      <c r="R104" s="4">
        <v>19691.099999999999</v>
      </c>
    </row>
    <row r="105" spans="1:18" x14ac:dyDescent="0.25">
      <c r="A105" s="2">
        <v>2022</v>
      </c>
      <c r="B105" s="2" t="s">
        <v>18</v>
      </c>
      <c r="C105" s="2" t="s">
        <v>59</v>
      </c>
      <c r="D105" s="2" t="s">
        <v>60</v>
      </c>
      <c r="E105" s="2" t="s">
        <v>99</v>
      </c>
      <c r="F105" s="2" t="s">
        <v>81</v>
      </c>
      <c r="G105" s="2">
        <v>46</v>
      </c>
      <c r="H105" s="2" t="s">
        <v>23</v>
      </c>
      <c r="I105" s="2" t="s">
        <v>41</v>
      </c>
      <c r="J105" s="3">
        <v>44576</v>
      </c>
      <c r="K105" s="2" t="s">
        <v>49</v>
      </c>
      <c r="L105" s="2" t="s">
        <v>34</v>
      </c>
      <c r="M105" s="2">
        <v>8</v>
      </c>
      <c r="N105" s="2">
        <v>99</v>
      </c>
      <c r="O105" s="2">
        <v>220104</v>
      </c>
      <c r="P105" s="2" t="s">
        <v>63</v>
      </c>
      <c r="Q105" s="4">
        <f>Table2[[#This Row],[Room Booked]]*Table2[[#This Row],[Price]]</f>
        <v>1760832</v>
      </c>
      <c r="R105" s="4">
        <v>104549.4</v>
      </c>
    </row>
    <row r="106" spans="1:18" x14ac:dyDescent="0.25">
      <c r="A106" s="2">
        <v>2022</v>
      </c>
      <c r="B106" s="2" t="s">
        <v>51</v>
      </c>
      <c r="C106" s="2" t="s">
        <v>59</v>
      </c>
      <c r="D106" s="2" t="s">
        <v>60</v>
      </c>
      <c r="E106" s="2" t="s">
        <v>99</v>
      </c>
      <c r="F106" s="2" t="s">
        <v>82</v>
      </c>
      <c r="G106" s="2">
        <v>58</v>
      </c>
      <c r="H106" s="2" t="s">
        <v>23</v>
      </c>
      <c r="I106" s="2" t="s">
        <v>41</v>
      </c>
      <c r="J106" s="3">
        <v>44811</v>
      </c>
      <c r="K106" s="2" t="s">
        <v>65</v>
      </c>
      <c r="L106" s="2" t="s">
        <v>34</v>
      </c>
      <c r="M106" s="2">
        <v>8</v>
      </c>
      <c r="N106" s="2">
        <v>119</v>
      </c>
      <c r="O106" s="2">
        <v>1683</v>
      </c>
      <c r="P106" s="2" t="s">
        <v>63</v>
      </c>
      <c r="Q106" s="4">
        <f>Table2[[#This Row],[Room Booked]]*Table2[[#This Row],[Price]]</f>
        <v>13464</v>
      </c>
      <c r="R106" s="4">
        <v>19691.099999999999</v>
      </c>
    </row>
    <row r="107" spans="1:18" x14ac:dyDescent="0.25">
      <c r="A107" s="2">
        <v>2022</v>
      </c>
      <c r="B107" s="2" t="s">
        <v>55</v>
      </c>
      <c r="C107" s="2" t="s">
        <v>94</v>
      </c>
      <c r="D107" s="2" t="s">
        <v>60</v>
      </c>
      <c r="E107" s="2" t="s">
        <v>99</v>
      </c>
      <c r="F107" s="2" t="s">
        <v>83</v>
      </c>
      <c r="G107" s="2">
        <v>54</v>
      </c>
      <c r="H107" s="2" t="s">
        <v>23</v>
      </c>
      <c r="I107" s="2" t="s">
        <v>41</v>
      </c>
      <c r="J107" s="3">
        <v>44776</v>
      </c>
      <c r="K107" s="2" t="s">
        <v>68</v>
      </c>
      <c r="L107" s="2" t="s">
        <v>43</v>
      </c>
      <c r="M107" s="2">
        <v>28</v>
      </c>
      <c r="N107" s="2">
        <v>123</v>
      </c>
      <c r="O107" s="2">
        <v>52768</v>
      </c>
      <c r="P107" s="2" t="s">
        <v>63</v>
      </c>
      <c r="Q107" s="4">
        <f>Table2[[#This Row],[Room Booked]]*Table2[[#This Row],[Price]]</f>
        <v>1477504</v>
      </c>
      <c r="R107" s="4">
        <v>117463.2</v>
      </c>
    </row>
    <row r="108" spans="1:18" x14ac:dyDescent="0.25">
      <c r="A108" s="2">
        <v>2023</v>
      </c>
      <c r="B108" s="2" t="s">
        <v>36</v>
      </c>
      <c r="C108" s="2" t="s">
        <v>94</v>
      </c>
      <c r="D108" s="2" t="s">
        <v>60</v>
      </c>
      <c r="E108" s="2" t="s">
        <v>99</v>
      </c>
      <c r="F108" s="2" t="s">
        <v>84</v>
      </c>
      <c r="G108" s="2">
        <v>68</v>
      </c>
      <c r="H108" s="2" t="s">
        <v>33</v>
      </c>
      <c r="I108" s="2" t="s">
        <v>24</v>
      </c>
      <c r="J108" s="3">
        <v>45099</v>
      </c>
      <c r="K108" s="2" t="s">
        <v>68</v>
      </c>
      <c r="L108" s="2" t="s">
        <v>26</v>
      </c>
      <c r="M108" s="2">
        <v>28</v>
      </c>
      <c r="N108" s="2">
        <v>99</v>
      </c>
      <c r="O108" s="2">
        <v>23616</v>
      </c>
      <c r="P108" s="2" t="s">
        <v>50</v>
      </c>
      <c r="Q108" s="4">
        <f>Table2[[#This Row],[Room Booked]]*Table2[[#This Row],[Price]]</f>
        <v>661248</v>
      </c>
      <c r="R108" s="4">
        <v>31350.3</v>
      </c>
    </row>
    <row r="109" spans="1:18" x14ac:dyDescent="0.25">
      <c r="A109" s="2">
        <v>2022</v>
      </c>
      <c r="B109" s="2" t="s">
        <v>36</v>
      </c>
      <c r="C109" s="2" t="s">
        <v>94</v>
      </c>
      <c r="D109" s="2" t="s">
        <v>60</v>
      </c>
      <c r="E109" s="2" t="s">
        <v>99</v>
      </c>
      <c r="F109" s="2" t="s">
        <v>85</v>
      </c>
      <c r="G109" s="2">
        <v>52</v>
      </c>
      <c r="H109" s="2" t="s">
        <v>33</v>
      </c>
      <c r="I109" s="2" t="s">
        <v>24</v>
      </c>
      <c r="J109" s="3">
        <v>44738</v>
      </c>
      <c r="K109" s="2" t="s">
        <v>46</v>
      </c>
      <c r="L109" s="2" t="s">
        <v>26</v>
      </c>
      <c r="M109" s="2">
        <v>15</v>
      </c>
      <c r="N109" s="2">
        <v>106</v>
      </c>
      <c r="O109" s="2">
        <v>8278</v>
      </c>
      <c r="P109" s="2" t="s">
        <v>27</v>
      </c>
      <c r="Q109" s="4">
        <f>Table2[[#This Row],[Room Booked]]*Table2[[#This Row],[Price]]</f>
        <v>124170</v>
      </c>
      <c r="R109" s="4">
        <v>89402.4</v>
      </c>
    </row>
    <row r="110" spans="1:18" x14ac:dyDescent="0.25">
      <c r="A110" s="2">
        <v>2022</v>
      </c>
      <c r="B110" s="2" t="s">
        <v>51</v>
      </c>
      <c r="C110" s="2" t="s">
        <v>59</v>
      </c>
      <c r="D110" s="2" t="s">
        <v>60</v>
      </c>
      <c r="E110" s="2" t="s">
        <v>99</v>
      </c>
      <c r="F110" s="2" t="s">
        <v>86</v>
      </c>
      <c r="G110" s="2">
        <v>27</v>
      </c>
      <c r="H110" s="2" t="s">
        <v>33</v>
      </c>
      <c r="I110" s="2" t="s">
        <v>41</v>
      </c>
      <c r="J110" s="3">
        <v>44824</v>
      </c>
      <c r="K110" s="2" t="s">
        <v>68</v>
      </c>
      <c r="L110" s="2" t="s">
        <v>43</v>
      </c>
      <c r="M110" s="2">
        <v>13</v>
      </c>
      <c r="N110" s="2">
        <v>107</v>
      </c>
      <c r="O110" s="2">
        <v>119616</v>
      </c>
      <c r="P110" s="2" t="s">
        <v>50</v>
      </c>
      <c r="Q110" s="4">
        <f>Table2[[#This Row],[Room Booked]]*Table2[[#This Row],[Price]]</f>
        <v>1555008</v>
      </c>
      <c r="R110" s="4">
        <v>11587.8</v>
      </c>
    </row>
    <row r="111" spans="1:18" x14ac:dyDescent="0.25">
      <c r="A111" s="2">
        <v>2022</v>
      </c>
      <c r="B111" s="2" t="s">
        <v>18</v>
      </c>
      <c r="C111" s="2" t="s">
        <v>59</v>
      </c>
      <c r="D111" s="2" t="s">
        <v>60</v>
      </c>
      <c r="E111" s="2" t="s">
        <v>100</v>
      </c>
      <c r="F111" s="2" t="s">
        <v>88</v>
      </c>
      <c r="G111" s="2">
        <v>46</v>
      </c>
      <c r="H111" s="2" t="s">
        <v>23</v>
      </c>
      <c r="I111" s="2" t="s">
        <v>41</v>
      </c>
      <c r="J111" s="3">
        <v>44576</v>
      </c>
      <c r="K111" s="2" t="s">
        <v>49</v>
      </c>
      <c r="L111" s="2" t="s">
        <v>34</v>
      </c>
      <c r="M111" s="2">
        <v>16</v>
      </c>
      <c r="N111" s="2">
        <v>99</v>
      </c>
      <c r="O111" s="2">
        <v>220104</v>
      </c>
      <c r="P111" s="2" t="s">
        <v>63</v>
      </c>
      <c r="Q111" s="4">
        <f>Table2[[#This Row],[Room Booked]]*Table2[[#This Row],[Price]]</f>
        <v>3521664</v>
      </c>
      <c r="R111" s="4">
        <v>104549.4</v>
      </c>
    </row>
    <row r="112" spans="1:18" x14ac:dyDescent="0.25">
      <c r="A112" s="2">
        <v>2022</v>
      </c>
      <c r="B112" s="2" t="s">
        <v>51</v>
      </c>
      <c r="C112" s="2" t="s">
        <v>59</v>
      </c>
      <c r="D112" s="2" t="s">
        <v>60</v>
      </c>
      <c r="E112" s="2" t="s">
        <v>100</v>
      </c>
      <c r="F112" s="2" t="s">
        <v>89</v>
      </c>
      <c r="G112" s="2">
        <v>58</v>
      </c>
      <c r="H112" s="2" t="s">
        <v>23</v>
      </c>
      <c r="I112" s="2" t="s">
        <v>24</v>
      </c>
      <c r="J112" s="3">
        <v>44811</v>
      </c>
      <c r="K112" s="2" t="s">
        <v>65</v>
      </c>
      <c r="L112" s="2" t="s">
        <v>34</v>
      </c>
      <c r="M112" s="2">
        <v>16</v>
      </c>
      <c r="N112" s="2">
        <v>119</v>
      </c>
      <c r="O112" s="2">
        <v>1683</v>
      </c>
      <c r="P112" s="2" t="s">
        <v>63</v>
      </c>
      <c r="Q112" s="4">
        <f>Table2[[#This Row],[Room Booked]]*Table2[[#This Row],[Price]]</f>
        <v>26928</v>
      </c>
      <c r="R112" s="4">
        <v>19691.099999999999</v>
      </c>
    </row>
    <row r="113" spans="1:18" x14ac:dyDescent="0.25">
      <c r="A113" s="2">
        <v>2022</v>
      </c>
      <c r="B113" s="2" t="s">
        <v>55</v>
      </c>
      <c r="C113" s="2" t="s">
        <v>94</v>
      </c>
      <c r="D113" s="2" t="s">
        <v>60</v>
      </c>
      <c r="E113" s="2" t="s">
        <v>100</v>
      </c>
      <c r="F113" s="2" t="s">
        <v>90</v>
      </c>
      <c r="G113" s="2">
        <v>54</v>
      </c>
      <c r="H113" s="2" t="s">
        <v>23</v>
      </c>
      <c r="I113" s="2" t="s">
        <v>41</v>
      </c>
      <c r="J113" s="3">
        <v>44776</v>
      </c>
      <c r="K113" s="2" t="s">
        <v>68</v>
      </c>
      <c r="L113" s="2" t="s">
        <v>43</v>
      </c>
      <c r="M113" s="2">
        <v>28</v>
      </c>
      <c r="N113" s="2">
        <v>123</v>
      </c>
      <c r="O113" s="2">
        <v>52768</v>
      </c>
      <c r="P113" s="2" t="s">
        <v>63</v>
      </c>
      <c r="Q113" s="4">
        <f>Table2[[#This Row],[Room Booked]]*Table2[[#This Row],[Price]]</f>
        <v>1477504</v>
      </c>
      <c r="R113" s="4">
        <v>117463.2</v>
      </c>
    </row>
    <row r="114" spans="1:18" x14ac:dyDescent="0.25">
      <c r="A114" s="2">
        <v>2023</v>
      </c>
      <c r="B114" s="2" t="s">
        <v>36</v>
      </c>
      <c r="C114" s="2" t="s">
        <v>94</v>
      </c>
      <c r="D114" s="2" t="s">
        <v>60</v>
      </c>
      <c r="E114" s="2" t="s">
        <v>100</v>
      </c>
      <c r="F114" s="2" t="s">
        <v>22</v>
      </c>
      <c r="G114" s="2">
        <v>68</v>
      </c>
      <c r="H114" s="2" t="s">
        <v>33</v>
      </c>
      <c r="I114" s="2" t="s">
        <v>24</v>
      </c>
      <c r="J114" s="3">
        <v>45099</v>
      </c>
      <c r="K114" s="2" t="s">
        <v>68</v>
      </c>
      <c r="L114" s="2" t="s">
        <v>26</v>
      </c>
      <c r="M114" s="2">
        <v>16</v>
      </c>
      <c r="N114" s="2">
        <v>99</v>
      </c>
      <c r="O114" s="2">
        <v>23616</v>
      </c>
      <c r="P114" s="2" t="s">
        <v>50</v>
      </c>
      <c r="Q114" s="4">
        <f>Table2[[#This Row],[Room Booked]]*Table2[[#This Row],[Price]]</f>
        <v>377856</v>
      </c>
      <c r="R114" s="4">
        <v>31350.3</v>
      </c>
    </row>
    <row r="115" spans="1:18" x14ac:dyDescent="0.25">
      <c r="A115" s="2">
        <v>2022</v>
      </c>
      <c r="B115" s="2" t="s">
        <v>36</v>
      </c>
      <c r="C115" s="2" t="s">
        <v>94</v>
      </c>
      <c r="D115" s="2" t="s">
        <v>60</v>
      </c>
      <c r="E115" s="2" t="s">
        <v>100</v>
      </c>
      <c r="F115" s="2" t="s">
        <v>32</v>
      </c>
      <c r="G115" s="2">
        <v>52</v>
      </c>
      <c r="H115" s="2" t="s">
        <v>33</v>
      </c>
      <c r="I115" s="2" t="s">
        <v>41</v>
      </c>
      <c r="J115" s="3">
        <v>44738</v>
      </c>
      <c r="K115" s="2" t="s">
        <v>46</v>
      </c>
      <c r="L115" s="2" t="s">
        <v>26</v>
      </c>
      <c r="M115" s="2">
        <v>15</v>
      </c>
      <c r="N115" s="2">
        <v>106</v>
      </c>
      <c r="O115" s="2">
        <v>8278</v>
      </c>
      <c r="P115" s="2" t="s">
        <v>27</v>
      </c>
      <c r="Q115" s="4">
        <f>Table2[[#This Row],[Room Booked]]*Table2[[#This Row],[Price]]</f>
        <v>124170</v>
      </c>
      <c r="R115" s="4">
        <v>89402.4</v>
      </c>
    </row>
    <row r="116" spans="1:18" x14ac:dyDescent="0.25">
      <c r="A116" s="2">
        <v>2022</v>
      </c>
      <c r="B116" s="2" t="s">
        <v>51</v>
      </c>
      <c r="C116" s="2" t="s">
        <v>59</v>
      </c>
      <c r="D116" s="2" t="s">
        <v>60</v>
      </c>
      <c r="E116" s="2" t="s">
        <v>100</v>
      </c>
      <c r="F116" s="2" t="s">
        <v>40</v>
      </c>
      <c r="G116" s="2">
        <v>27</v>
      </c>
      <c r="H116" s="2" t="s">
        <v>33</v>
      </c>
      <c r="I116" s="2" t="s">
        <v>41</v>
      </c>
      <c r="J116" s="3">
        <v>44824</v>
      </c>
      <c r="K116" s="2" t="s">
        <v>68</v>
      </c>
      <c r="L116" s="2" t="s">
        <v>43</v>
      </c>
      <c r="M116" s="2">
        <v>6</v>
      </c>
      <c r="N116" s="2">
        <v>107</v>
      </c>
      <c r="O116" s="2">
        <v>119616</v>
      </c>
      <c r="P116" s="2" t="s">
        <v>50</v>
      </c>
      <c r="Q116" s="4">
        <f>Table2[[#This Row],[Room Booked]]*Table2[[#This Row],[Price]]</f>
        <v>717696</v>
      </c>
      <c r="R116" s="4">
        <v>11587.8</v>
      </c>
    </row>
    <row r="117" spans="1:18" x14ac:dyDescent="0.25">
      <c r="A117" s="2">
        <v>2022</v>
      </c>
      <c r="B117" s="2" t="s">
        <v>18</v>
      </c>
      <c r="C117" s="2" t="s">
        <v>59</v>
      </c>
      <c r="D117" s="2" t="s">
        <v>60</v>
      </c>
      <c r="E117" s="2" t="s">
        <v>100</v>
      </c>
      <c r="F117" s="2" t="s">
        <v>45</v>
      </c>
      <c r="G117" s="2">
        <v>46</v>
      </c>
      <c r="H117" s="2" t="s">
        <v>23</v>
      </c>
      <c r="I117" s="2" t="s">
        <v>24</v>
      </c>
      <c r="J117" s="3">
        <v>44576</v>
      </c>
      <c r="K117" s="2" t="s">
        <v>49</v>
      </c>
      <c r="L117" s="2" t="s">
        <v>34</v>
      </c>
      <c r="M117" s="2">
        <v>16</v>
      </c>
      <c r="N117" s="2">
        <v>99</v>
      </c>
      <c r="O117" s="2">
        <v>220104</v>
      </c>
      <c r="P117" s="2" t="s">
        <v>63</v>
      </c>
      <c r="Q117" s="4">
        <f>Table2[[#This Row],[Room Booked]]*Table2[[#This Row],[Price]]</f>
        <v>3521664</v>
      </c>
      <c r="R117" s="4">
        <v>104549.4</v>
      </c>
    </row>
    <row r="118" spans="1:18" x14ac:dyDescent="0.25">
      <c r="A118" s="2">
        <v>2022</v>
      </c>
      <c r="B118" s="2" t="s">
        <v>51</v>
      </c>
      <c r="C118" s="2" t="s">
        <v>59</v>
      </c>
      <c r="D118" s="2" t="s">
        <v>60</v>
      </c>
      <c r="E118" s="2" t="s">
        <v>100</v>
      </c>
      <c r="F118" s="2" t="s">
        <v>48</v>
      </c>
      <c r="G118" s="2">
        <v>58</v>
      </c>
      <c r="H118" s="2" t="s">
        <v>23</v>
      </c>
      <c r="I118" s="2" t="s">
        <v>41</v>
      </c>
      <c r="J118" s="3">
        <v>44811</v>
      </c>
      <c r="K118" s="2" t="s">
        <v>65</v>
      </c>
      <c r="L118" s="2" t="s">
        <v>34</v>
      </c>
      <c r="M118" s="2">
        <v>16</v>
      </c>
      <c r="N118" s="2">
        <v>119</v>
      </c>
      <c r="O118" s="2">
        <v>1683</v>
      </c>
      <c r="P118" s="2" t="s">
        <v>63</v>
      </c>
      <c r="Q118" s="4">
        <f>Table2[[#This Row],[Room Booked]]*Table2[[#This Row],[Price]]</f>
        <v>26928</v>
      </c>
      <c r="R118" s="4">
        <v>19691.099999999999</v>
      </c>
    </row>
    <row r="119" spans="1:18" x14ac:dyDescent="0.25">
      <c r="A119" s="2">
        <v>2022</v>
      </c>
      <c r="B119" s="2" t="s">
        <v>55</v>
      </c>
      <c r="C119" s="2" t="s">
        <v>94</v>
      </c>
      <c r="D119" s="2" t="s">
        <v>60</v>
      </c>
      <c r="E119" s="2" t="s">
        <v>100</v>
      </c>
      <c r="F119" s="2" t="s">
        <v>52</v>
      </c>
      <c r="G119" s="2">
        <v>54</v>
      </c>
      <c r="H119" s="2" t="s">
        <v>23</v>
      </c>
      <c r="I119" s="2" t="s">
        <v>41</v>
      </c>
      <c r="J119" s="3">
        <v>44776</v>
      </c>
      <c r="K119" s="2" t="s">
        <v>68</v>
      </c>
      <c r="L119" s="2" t="s">
        <v>43</v>
      </c>
      <c r="M119" s="2">
        <v>28</v>
      </c>
      <c r="N119" s="2">
        <v>123</v>
      </c>
      <c r="O119" s="2">
        <v>252768</v>
      </c>
      <c r="P119" s="2" t="s">
        <v>63</v>
      </c>
      <c r="Q119" s="4">
        <f>Table2[[#This Row],[Room Booked]]*Table2[[#This Row],[Price]]</f>
        <v>7077504</v>
      </c>
      <c r="R119" s="4">
        <v>117463.2</v>
      </c>
    </row>
    <row r="120" spans="1:18" x14ac:dyDescent="0.25">
      <c r="A120" s="2">
        <v>2023</v>
      </c>
      <c r="B120" s="2" t="s">
        <v>36</v>
      </c>
      <c r="C120" s="2" t="s">
        <v>94</v>
      </c>
      <c r="D120" s="2" t="s">
        <v>60</v>
      </c>
      <c r="E120" s="2" t="s">
        <v>100</v>
      </c>
      <c r="F120" s="2" t="s">
        <v>54</v>
      </c>
      <c r="G120" s="2">
        <v>68</v>
      </c>
      <c r="H120" s="2" t="s">
        <v>33</v>
      </c>
      <c r="I120" s="2" t="s">
        <v>24</v>
      </c>
      <c r="J120" s="3">
        <v>45099</v>
      </c>
      <c r="K120" s="2" t="s">
        <v>68</v>
      </c>
      <c r="L120" s="2" t="s">
        <v>26</v>
      </c>
      <c r="M120" s="2">
        <v>28</v>
      </c>
      <c r="N120" s="2">
        <v>99</v>
      </c>
      <c r="O120" s="2">
        <v>223616</v>
      </c>
      <c r="P120" s="2" t="s">
        <v>50</v>
      </c>
      <c r="Q120" s="4">
        <f>Table2[[#This Row],[Room Booked]]*Table2[[#This Row],[Price]]</f>
        <v>6261248</v>
      </c>
      <c r="R120" s="4">
        <v>31350.3</v>
      </c>
    </row>
    <row r="121" spans="1:18" x14ac:dyDescent="0.25">
      <c r="A121" s="2">
        <v>2022</v>
      </c>
      <c r="B121" s="2" t="s">
        <v>36</v>
      </c>
      <c r="C121" s="2" t="s">
        <v>94</v>
      </c>
      <c r="D121" s="2" t="s">
        <v>60</v>
      </c>
      <c r="E121" s="2" t="s">
        <v>100</v>
      </c>
      <c r="F121" s="2" t="s">
        <v>56</v>
      </c>
      <c r="G121" s="2">
        <v>52</v>
      </c>
      <c r="H121" s="2" t="s">
        <v>33</v>
      </c>
      <c r="I121" s="2" t="s">
        <v>24</v>
      </c>
      <c r="J121" s="3">
        <v>44738</v>
      </c>
      <c r="K121" s="2" t="s">
        <v>46</v>
      </c>
      <c r="L121" s="2" t="s">
        <v>26</v>
      </c>
      <c r="M121" s="2">
        <v>15</v>
      </c>
      <c r="N121" s="2">
        <v>106</v>
      </c>
      <c r="O121" s="2">
        <v>8278</v>
      </c>
      <c r="P121" s="2" t="s">
        <v>27</v>
      </c>
      <c r="Q121" s="4">
        <f>Table2[[#This Row],[Room Booked]]*Table2[[#This Row],[Price]]</f>
        <v>124170</v>
      </c>
      <c r="R121" s="4">
        <v>89402.4</v>
      </c>
    </row>
    <row r="122" spans="1:18" x14ac:dyDescent="0.25">
      <c r="A122" s="2">
        <v>2022</v>
      </c>
      <c r="B122" s="2" t="s">
        <v>51</v>
      </c>
      <c r="C122" s="2" t="s">
        <v>59</v>
      </c>
      <c r="D122" s="2" t="s">
        <v>60</v>
      </c>
      <c r="E122" s="2" t="s">
        <v>100</v>
      </c>
      <c r="F122" s="2" t="s">
        <v>58</v>
      </c>
      <c r="G122" s="2">
        <v>27</v>
      </c>
      <c r="H122" s="2" t="s">
        <v>33</v>
      </c>
      <c r="I122" s="2" t="s">
        <v>24</v>
      </c>
      <c r="J122" s="3">
        <v>44824</v>
      </c>
      <c r="K122" s="2" t="s">
        <v>68</v>
      </c>
      <c r="L122" s="2" t="s">
        <v>43</v>
      </c>
      <c r="M122" s="2">
        <v>12</v>
      </c>
      <c r="N122" s="2">
        <v>107</v>
      </c>
      <c r="O122" s="2">
        <v>119616</v>
      </c>
      <c r="P122" s="2" t="s">
        <v>50</v>
      </c>
      <c r="Q122" s="4">
        <f>Table2[[#This Row],[Room Booked]]*Table2[[#This Row],[Price]]</f>
        <v>1435392</v>
      </c>
      <c r="R122" s="4">
        <v>11587.8</v>
      </c>
    </row>
    <row r="123" spans="1:18" x14ac:dyDescent="0.25">
      <c r="A123" s="2">
        <v>2022</v>
      </c>
      <c r="B123" s="2" t="s">
        <v>28</v>
      </c>
      <c r="C123" s="2" t="s">
        <v>29</v>
      </c>
      <c r="D123" s="2" t="s">
        <v>30</v>
      </c>
      <c r="E123" s="2" t="s">
        <v>101</v>
      </c>
      <c r="F123" s="2" t="s">
        <v>62</v>
      </c>
      <c r="G123" s="2">
        <v>21</v>
      </c>
      <c r="H123" s="2" t="s">
        <v>33</v>
      </c>
      <c r="I123" s="2" t="s">
        <v>24</v>
      </c>
      <c r="J123" s="3">
        <v>44674</v>
      </c>
      <c r="K123" s="2" t="s">
        <v>25</v>
      </c>
      <c r="L123" s="2" t="s">
        <v>34</v>
      </c>
      <c r="M123" s="2">
        <v>26</v>
      </c>
      <c r="N123" s="2">
        <v>106</v>
      </c>
      <c r="O123" s="2">
        <v>3928</v>
      </c>
      <c r="P123" s="2" t="s">
        <v>35</v>
      </c>
      <c r="Q123" s="4">
        <f>Table2[[#This Row],[Room Booked]]*Table2[[#This Row],[Price]]</f>
        <v>102128</v>
      </c>
      <c r="R123" s="4">
        <v>44779.199999999997</v>
      </c>
    </row>
    <row r="124" spans="1:18" x14ac:dyDescent="0.25">
      <c r="A124" s="2">
        <v>2022</v>
      </c>
      <c r="B124" s="2" t="s">
        <v>47</v>
      </c>
      <c r="C124" s="2" t="s">
        <v>29</v>
      </c>
      <c r="D124" s="2" t="s">
        <v>30</v>
      </c>
      <c r="E124" s="2" t="s">
        <v>101</v>
      </c>
      <c r="F124" s="2" t="s">
        <v>64</v>
      </c>
      <c r="G124" s="2">
        <v>56</v>
      </c>
      <c r="H124" s="2" t="s">
        <v>23</v>
      </c>
      <c r="I124" s="2" t="s">
        <v>24</v>
      </c>
      <c r="J124" s="3">
        <v>44914</v>
      </c>
      <c r="K124" s="2" t="s">
        <v>49</v>
      </c>
      <c r="L124" s="2" t="s">
        <v>34</v>
      </c>
      <c r="M124" s="2">
        <v>47</v>
      </c>
      <c r="N124" s="2">
        <v>121</v>
      </c>
      <c r="O124" s="2">
        <v>173568</v>
      </c>
      <c r="P124" s="2" t="s">
        <v>50</v>
      </c>
      <c r="Q124" s="4">
        <f>Table2[[#This Row],[Room Booked]]*Table2[[#This Row],[Price]]</f>
        <v>8157696</v>
      </c>
      <c r="R124" s="4">
        <v>197433.60000000001</v>
      </c>
    </row>
    <row r="125" spans="1:18" x14ac:dyDescent="0.25">
      <c r="A125" s="2">
        <v>2022</v>
      </c>
      <c r="B125" s="2" t="s">
        <v>55</v>
      </c>
      <c r="C125" s="2" t="s">
        <v>29</v>
      </c>
      <c r="D125" s="2" t="s">
        <v>30</v>
      </c>
      <c r="E125" s="2" t="s">
        <v>101</v>
      </c>
      <c r="F125" s="2" t="s">
        <v>66</v>
      </c>
      <c r="G125" s="2">
        <v>22</v>
      </c>
      <c r="H125" s="2" t="s">
        <v>33</v>
      </c>
      <c r="I125" s="2" t="s">
        <v>24</v>
      </c>
      <c r="J125" s="3">
        <v>44782</v>
      </c>
      <c r="K125" s="2" t="s">
        <v>42</v>
      </c>
      <c r="L125" s="2" t="s">
        <v>26</v>
      </c>
      <c r="M125" s="2">
        <v>38</v>
      </c>
      <c r="N125" s="2">
        <v>105</v>
      </c>
      <c r="O125" s="2">
        <v>35248</v>
      </c>
      <c r="P125" s="2" t="s">
        <v>35</v>
      </c>
      <c r="Q125" s="4">
        <f>Table2[[#This Row],[Room Booked]]*Table2[[#This Row],[Price]]</f>
        <v>1339424</v>
      </c>
      <c r="R125" s="4">
        <v>91204.2</v>
      </c>
    </row>
    <row r="126" spans="1:18" x14ac:dyDescent="0.25">
      <c r="A126" s="2">
        <v>2023</v>
      </c>
      <c r="B126" s="2" t="s">
        <v>36</v>
      </c>
      <c r="C126" s="2" t="s">
        <v>29</v>
      </c>
      <c r="D126" s="2" t="s">
        <v>30</v>
      </c>
      <c r="E126" s="2" t="s">
        <v>101</v>
      </c>
      <c r="F126" s="2" t="s">
        <v>67</v>
      </c>
      <c r="G126" s="2">
        <v>35</v>
      </c>
      <c r="H126" s="2" t="s">
        <v>33</v>
      </c>
      <c r="I126" s="2" t="s">
        <v>24</v>
      </c>
      <c r="J126" s="3">
        <v>45095</v>
      </c>
      <c r="K126" s="2" t="s">
        <v>68</v>
      </c>
      <c r="L126" s="2" t="s">
        <v>26</v>
      </c>
      <c r="M126" s="2">
        <v>27</v>
      </c>
      <c r="N126" s="2">
        <v>109</v>
      </c>
      <c r="O126" s="2">
        <v>76704</v>
      </c>
      <c r="P126" s="2" t="s">
        <v>50</v>
      </c>
      <c r="Q126" s="4">
        <f>Table2[[#This Row],[Room Booked]]*Table2[[#This Row],[Price]]</f>
        <v>2071008</v>
      </c>
      <c r="R126" s="4">
        <v>86702.7</v>
      </c>
    </row>
    <row r="127" spans="1:18" x14ac:dyDescent="0.25">
      <c r="A127" s="2">
        <v>2022</v>
      </c>
      <c r="B127" s="2" t="s">
        <v>69</v>
      </c>
      <c r="C127" s="2" t="s">
        <v>29</v>
      </c>
      <c r="D127" s="2" t="s">
        <v>30</v>
      </c>
      <c r="E127" s="2" t="s">
        <v>101</v>
      </c>
      <c r="F127" s="2" t="s">
        <v>73</v>
      </c>
      <c r="G127" s="2">
        <v>20</v>
      </c>
      <c r="H127" s="2" t="s">
        <v>33</v>
      </c>
      <c r="I127" s="2" t="s">
        <v>24</v>
      </c>
      <c r="J127" s="3">
        <v>44866</v>
      </c>
      <c r="K127" s="2" t="s">
        <v>46</v>
      </c>
      <c r="L127" s="2" t="s">
        <v>34</v>
      </c>
      <c r="M127" s="2">
        <v>19</v>
      </c>
      <c r="N127" s="2">
        <v>125</v>
      </c>
      <c r="O127" s="2">
        <v>7364</v>
      </c>
      <c r="P127" s="2" t="s">
        <v>27</v>
      </c>
      <c r="Q127" s="4">
        <f>Table2[[#This Row],[Room Booked]]*Table2[[#This Row],[Price]]</f>
        <v>139916</v>
      </c>
      <c r="R127" s="4">
        <v>46393.2</v>
      </c>
    </row>
    <row r="128" spans="1:18" x14ac:dyDescent="0.25">
      <c r="A128" s="2">
        <v>2022</v>
      </c>
      <c r="B128" s="2" t="s">
        <v>28</v>
      </c>
      <c r="C128" s="2" t="s">
        <v>29</v>
      </c>
      <c r="D128" s="2" t="s">
        <v>30</v>
      </c>
      <c r="E128" s="2" t="s">
        <v>101</v>
      </c>
      <c r="F128" s="2" t="s">
        <v>74</v>
      </c>
      <c r="G128" s="2">
        <v>21</v>
      </c>
      <c r="H128" s="2" t="s">
        <v>33</v>
      </c>
      <c r="I128" s="2" t="s">
        <v>24</v>
      </c>
      <c r="J128" s="3">
        <v>44674</v>
      </c>
      <c r="K128" s="2" t="s">
        <v>25</v>
      </c>
      <c r="L128" s="2" t="s">
        <v>34</v>
      </c>
      <c r="M128" s="2">
        <v>26</v>
      </c>
      <c r="N128" s="2">
        <v>106</v>
      </c>
      <c r="O128" s="2">
        <v>3928</v>
      </c>
      <c r="P128" s="2" t="s">
        <v>35</v>
      </c>
      <c r="Q128" s="4">
        <f>Table2[[#This Row],[Room Booked]]*Table2[[#This Row],[Price]]</f>
        <v>102128</v>
      </c>
      <c r="R128" s="4">
        <v>44779.199999999997</v>
      </c>
    </row>
    <row r="129" spans="1:18" x14ac:dyDescent="0.25">
      <c r="A129" s="2">
        <v>2022</v>
      </c>
      <c r="B129" s="2" t="s">
        <v>47</v>
      </c>
      <c r="C129" s="2" t="s">
        <v>29</v>
      </c>
      <c r="D129" s="2" t="s">
        <v>30</v>
      </c>
      <c r="E129" s="2" t="s">
        <v>101</v>
      </c>
      <c r="F129" s="2" t="s">
        <v>75</v>
      </c>
      <c r="G129" s="2">
        <v>56</v>
      </c>
      <c r="H129" s="2" t="s">
        <v>23</v>
      </c>
      <c r="I129" s="2" t="s">
        <v>24</v>
      </c>
      <c r="J129" s="3">
        <v>44914</v>
      </c>
      <c r="K129" s="2" t="s">
        <v>49</v>
      </c>
      <c r="L129" s="2" t="s">
        <v>34</v>
      </c>
      <c r="M129" s="2">
        <v>47</v>
      </c>
      <c r="N129" s="2">
        <v>121</v>
      </c>
      <c r="O129" s="2">
        <v>173568</v>
      </c>
      <c r="P129" s="2" t="s">
        <v>50</v>
      </c>
      <c r="Q129" s="4">
        <f>Table2[[#This Row],[Room Booked]]*Table2[[#This Row],[Price]]</f>
        <v>8157696</v>
      </c>
      <c r="R129" s="4">
        <v>197433.60000000001</v>
      </c>
    </row>
    <row r="130" spans="1:18" x14ac:dyDescent="0.25">
      <c r="A130" s="2">
        <v>2022</v>
      </c>
      <c r="B130" s="2" t="s">
        <v>55</v>
      </c>
      <c r="C130" s="2" t="s">
        <v>29</v>
      </c>
      <c r="D130" s="2" t="s">
        <v>30</v>
      </c>
      <c r="E130" s="2" t="s">
        <v>101</v>
      </c>
      <c r="F130" s="2" t="s">
        <v>77</v>
      </c>
      <c r="G130" s="2">
        <v>22</v>
      </c>
      <c r="H130" s="2" t="s">
        <v>33</v>
      </c>
      <c r="I130" s="2" t="s">
        <v>41</v>
      </c>
      <c r="J130" s="3">
        <v>44782</v>
      </c>
      <c r="K130" s="2" t="s">
        <v>42</v>
      </c>
      <c r="L130" s="2" t="s">
        <v>26</v>
      </c>
      <c r="M130" s="2">
        <v>38</v>
      </c>
      <c r="N130" s="2">
        <v>105</v>
      </c>
      <c r="O130" s="2">
        <v>35248</v>
      </c>
      <c r="P130" s="2" t="s">
        <v>35</v>
      </c>
      <c r="Q130" s="4">
        <f>Table2[[#This Row],[Room Booked]]*Table2[[#This Row],[Price]]</f>
        <v>1339424</v>
      </c>
      <c r="R130" s="4">
        <v>91204.2</v>
      </c>
    </row>
    <row r="131" spans="1:18" x14ac:dyDescent="0.25">
      <c r="A131" s="2">
        <v>2023</v>
      </c>
      <c r="B131" s="2" t="s">
        <v>36</v>
      </c>
      <c r="C131" s="2" t="s">
        <v>29</v>
      </c>
      <c r="D131" s="2" t="s">
        <v>30</v>
      </c>
      <c r="E131" s="2" t="s">
        <v>101</v>
      </c>
      <c r="F131" s="2" t="s">
        <v>78</v>
      </c>
      <c r="G131" s="2">
        <v>35</v>
      </c>
      <c r="H131" s="2" t="s">
        <v>33</v>
      </c>
      <c r="I131" s="2" t="s">
        <v>41</v>
      </c>
      <c r="J131" s="3">
        <v>45095</v>
      </c>
      <c r="K131" s="2" t="s">
        <v>68</v>
      </c>
      <c r="L131" s="2" t="s">
        <v>26</v>
      </c>
      <c r="M131" s="2">
        <v>27</v>
      </c>
      <c r="N131" s="2">
        <v>109</v>
      </c>
      <c r="O131" s="2">
        <v>76704</v>
      </c>
      <c r="P131" s="2" t="s">
        <v>50</v>
      </c>
      <c r="Q131" s="4">
        <f>Table2[[#This Row],[Room Booked]]*Table2[[#This Row],[Price]]</f>
        <v>2071008</v>
      </c>
      <c r="R131" s="4">
        <v>86702.7</v>
      </c>
    </row>
    <row r="132" spans="1:18" x14ac:dyDescent="0.25">
      <c r="A132" s="2">
        <v>2022</v>
      </c>
      <c r="B132" s="2" t="s">
        <v>69</v>
      </c>
      <c r="C132" s="2" t="s">
        <v>29</v>
      </c>
      <c r="D132" s="2" t="s">
        <v>30</v>
      </c>
      <c r="E132" s="2" t="s">
        <v>101</v>
      </c>
      <c r="F132" s="2" t="s">
        <v>79</v>
      </c>
      <c r="G132" s="2">
        <v>20</v>
      </c>
      <c r="H132" s="2" t="s">
        <v>33</v>
      </c>
      <c r="I132" s="2" t="s">
        <v>24</v>
      </c>
      <c r="J132" s="3">
        <v>44866</v>
      </c>
      <c r="K132" s="2" t="s">
        <v>46</v>
      </c>
      <c r="L132" s="2" t="s">
        <v>34</v>
      </c>
      <c r="M132" s="2">
        <v>19</v>
      </c>
      <c r="N132" s="2">
        <v>125</v>
      </c>
      <c r="O132" s="2">
        <v>7364</v>
      </c>
      <c r="P132" s="2" t="s">
        <v>27</v>
      </c>
      <c r="Q132" s="4">
        <f>Table2[[#This Row],[Room Booked]]*Table2[[#This Row],[Price]]</f>
        <v>139916</v>
      </c>
      <c r="R132" s="4">
        <v>46393.2</v>
      </c>
    </row>
    <row r="133" spans="1:18" x14ac:dyDescent="0.25">
      <c r="A133" s="2">
        <v>2022</v>
      </c>
      <c r="B133" s="2" t="s">
        <v>95</v>
      </c>
      <c r="C133" s="2" t="s">
        <v>19</v>
      </c>
      <c r="D133" s="2" t="s">
        <v>20</v>
      </c>
      <c r="E133" s="2" t="s">
        <v>21</v>
      </c>
      <c r="F133" s="2" t="s">
        <v>22</v>
      </c>
      <c r="G133" s="2">
        <v>37</v>
      </c>
      <c r="H133" s="2" t="s">
        <v>23</v>
      </c>
      <c r="I133" s="2" t="s">
        <v>24</v>
      </c>
      <c r="J133" s="3">
        <v>44601</v>
      </c>
      <c r="K133" s="2" t="s">
        <v>25</v>
      </c>
      <c r="L133" s="2" t="s">
        <v>26</v>
      </c>
      <c r="M133" s="2">
        <v>16</v>
      </c>
      <c r="N133" s="2">
        <v>99</v>
      </c>
      <c r="O133" s="2">
        <v>4867</v>
      </c>
      <c r="P133" s="2" t="s">
        <v>27</v>
      </c>
      <c r="Q133" s="4">
        <v>43803</v>
      </c>
      <c r="R133" s="4">
        <v>32122.199999999997</v>
      </c>
    </row>
    <row r="134" spans="1:18" x14ac:dyDescent="0.25">
      <c r="A134" s="2">
        <v>2022</v>
      </c>
      <c r="B134" s="2" t="s">
        <v>95</v>
      </c>
      <c r="C134" s="2" t="s">
        <v>59</v>
      </c>
      <c r="D134" s="2" t="s">
        <v>60</v>
      </c>
      <c r="E134" s="2" t="s">
        <v>61</v>
      </c>
      <c r="F134" s="2" t="s">
        <v>62</v>
      </c>
      <c r="G134" s="2">
        <v>46</v>
      </c>
      <c r="H134" s="2" t="s">
        <v>23</v>
      </c>
      <c r="I134" s="2" t="s">
        <v>41</v>
      </c>
      <c r="J134" s="3">
        <v>44607</v>
      </c>
      <c r="K134" s="2" t="s">
        <v>49</v>
      </c>
      <c r="L134" s="2" t="s">
        <v>34</v>
      </c>
      <c r="M134" s="2">
        <v>16</v>
      </c>
      <c r="N134" s="2">
        <v>99</v>
      </c>
      <c r="O134" s="2">
        <v>20104</v>
      </c>
      <c r="P134" s="2" t="s">
        <v>63</v>
      </c>
      <c r="Q134" s="4">
        <v>321664</v>
      </c>
      <c r="R134" s="4">
        <v>104549.4</v>
      </c>
    </row>
    <row r="135" spans="1:18" x14ac:dyDescent="0.25">
      <c r="A135" s="2">
        <v>2022</v>
      </c>
      <c r="B135" s="2" t="s">
        <v>95</v>
      </c>
      <c r="C135" s="2" t="s">
        <v>70</v>
      </c>
      <c r="D135" s="2" t="s">
        <v>71</v>
      </c>
      <c r="E135" s="2" t="s">
        <v>72</v>
      </c>
      <c r="F135" s="2" t="s">
        <v>84</v>
      </c>
      <c r="G135" s="2">
        <v>21</v>
      </c>
      <c r="H135" s="2" t="s">
        <v>23</v>
      </c>
      <c r="I135" s="2" t="s">
        <v>24</v>
      </c>
      <c r="J135" s="3">
        <v>44617</v>
      </c>
      <c r="K135" s="2" t="s">
        <v>49</v>
      </c>
      <c r="L135" s="2" t="s">
        <v>26</v>
      </c>
      <c r="M135" s="2">
        <v>38</v>
      </c>
      <c r="N135" s="2">
        <v>92</v>
      </c>
      <c r="O135" s="2">
        <v>6456</v>
      </c>
      <c r="P135" s="2" t="s">
        <v>50</v>
      </c>
      <c r="Q135" s="4">
        <v>245328</v>
      </c>
      <c r="R135" s="4">
        <v>216755.1</v>
      </c>
    </row>
    <row r="136" spans="1:18" x14ac:dyDescent="0.25">
      <c r="A136" s="2">
        <v>2022</v>
      </c>
      <c r="B136" s="2" t="s">
        <v>95</v>
      </c>
      <c r="C136" s="2" t="s">
        <v>37</v>
      </c>
      <c r="D136" s="2" t="s">
        <v>38</v>
      </c>
      <c r="E136" s="2" t="s">
        <v>39</v>
      </c>
      <c r="F136" s="2" t="s">
        <v>54</v>
      </c>
      <c r="G136" s="2">
        <v>68</v>
      </c>
      <c r="H136" s="2" t="s">
        <v>33</v>
      </c>
      <c r="I136" s="2" t="s">
        <v>24</v>
      </c>
      <c r="J136" s="3">
        <v>44615</v>
      </c>
      <c r="K136" s="2" t="s">
        <v>80</v>
      </c>
      <c r="L136" s="2" t="s">
        <v>43</v>
      </c>
      <c r="M136" s="2">
        <v>76</v>
      </c>
      <c r="N136" s="2">
        <v>110</v>
      </c>
      <c r="O136" s="2">
        <v>161408</v>
      </c>
      <c r="P136" s="2" t="s">
        <v>27</v>
      </c>
      <c r="Q136" s="4">
        <v>12267008</v>
      </c>
      <c r="R136" s="4">
        <v>43882.799999999996</v>
      </c>
    </row>
    <row r="137" spans="1:18" x14ac:dyDescent="0.25">
      <c r="A137" s="2">
        <v>2022</v>
      </c>
      <c r="B137" s="2" t="s">
        <v>95</v>
      </c>
      <c r="C137" s="2" t="s">
        <v>37</v>
      </c>
      <c r="D137" s="2" t="s">
        <v>38</v>
      </c>
      <c r="E137" s="2" t="s">
        <v>96</v>
      </c>
      <c r="F137" s="2" t="s">
        <v>83</v>
      </c>
      <c r="G137" s="2">
        <v>49</v>
      </c>
      <c r="H137" s="2" t="s">
        <v>33</v>
      </c>
      <c r="I137" s="2" t="s">
        <v>24</v>
      </c>
      <c r="J137" s="3">
        <v>44615</v>
      </c>
      <c r="K137" s="2" t="s">
        <v>80</v>
      </c>
      <c r="L137" s="2" t="s">
        <v>43</v>
      </c>
      <c r="M137" s="2">
        <v>37</v>
      </c>
      <c r="N137" s="2">
        <v>110</v>
      </c>
      <c r="O137" s="2">
        <v>161408</v>
      </c>
      <c r="P137" s="2" t="s">
        <v>27</v>
      </c>
      <c r="Q137" s="4">
        <v>5972096</v>
      </c>
      <c r="R137" s="4">
        <v>43882.799999999996</v>
      </c>
    </row>
    <row r="138" spans="1:18" x14ac:dyDescent="0.25">
      <c r="A138" s="2">
        <v>2022</v>
      </c>
      <c r="B138" s="2" t="s">
        <v>95</v>
      </c>
      <c r="C138" s="2" t="s">
        <v>59</v>
      </c>
      <c r="D138" s="2" t="s">
        <v>92</v>
      </c>
      <c r="E138" s="2" t="s">
        <v>98</v>
      </c>
      <c r="F138" s="2" t="s">
        <v>64</v>
      </c>
      <c r="G138" s="2">
        <v>46</v>
      </c>
      <c r="H138" s="2" t="s">
        <v>23</v>
      </c>
      <c r="I138" s="2" t="s">
        <v>24</v>
      </c>
      <c r="J138" s="3">
        <v>44607</v>
      </c>
      <c r="K138" s="2" t="s">
        <v>49</v>
      </c>
      <c r="L138" s="2" t="s">
        <v>34</v>
      </c>
      <c r="M138" s="2">
        <v>16</v>
      </c>
      <c r="N138" s="2">
        <v>99</v>
      </c>
      <c r="O138" s="2">
        <v>220104</v>
      </c>
      <c r="P138" s="2" t="s">
        <v>63</v>
      </c>
      <c r="Q138" s="4">
        <v>3521664</v>
      </c>
      <c r="R138" s="4">
        <v>104549.4</v>
      </c>
    </row>
    <row r="139" spans="1:18" x14ac:dyDescent="0.25">
      <c r="A139" s="2">
        <v>2022</v>
      </c>
      <c r="B139" s="2" t="s">
        <v>95</v>
      </c>
      <c r="C139" s="2" t="s">
        <v>59</v>
      </c>
      <c r="D139" s="2" t="s">
        <v>60</v>
      </c>
      <c r="E139" s="2" t="s">
        <v>99</v>
      </c>
      <c r="F139" s="2" t="s">
        <v>81</v>
      </c>
      <c r="G139" s="2">
        <v>46</v>
      </c>
      <c r="H139" s="2" t="s">
        <v>23</v>
      </c>
      <c r="I139" s="2" t="s">
        <v>41</v>
      </c>
      <c r="J139" s="3">
        <v>44607</v>
      </c>
      <c r="K139" s="2" t="s">
        <v>49</v>
      </c>
      <c r="L139" s="2" t="s">
        <v>34</v>
      </c>
      <c r="M139" s="2">
        <v>8</v>
      </c>
      <c r="N139" s="2">
        <v>99</v>
      </c>
      <c r="O139" s="2">
        <v>220104</v>
      </c>
      <c r="P139" s="2" t="s">
        <v>63</v>
      </c>
      <c r="Q139" s="4">
        <v>1760832</v>
      </c>
      <c r="R139" s="4">
        <v>104549.4</v>
      </c>
    </row>
    <row r="140" spans="1:18" x14ac:dyDescent="0.25">
      <c r="A140" s="2">
        <v>2022</v>
      </c>
      <c r="B140" s="2" t="s">
        <v>95</v>
      </c>
      <c r="C140" s="2" t="s">
        <v>59</v>
      </c>
      <c r="D140" s="2" t="s">
        <v>60</v>
      </c>
      <c r="E140" s="2" t="s">
        <v>100</v>
      </c>
      <c r="F140" s="2" t="s">
        <v>88</v>
      </c>
      <c r="G140" s="2">
        <v>46</v>
      </c>
      <c r="H140" s="2" t="s">
        <v>23</v>
      </c>
      <c r="I140" s="2" t="s">
        <v>41</v>
      </c>
      <c r="J140" s="3">
        <v>44607</v>
      </c>
      <c r="K140" s="2" t="s">
        <v>49</v>
      </c>
      <c r="L140" s="2" t="s">
        <v>34</v>
      </c>
      <c r="M140" s="2">
        <v>16</v>
      </c>
      <c r="N140" s="2">
        <v>99</v>
      </c>
      <c r="O140" s="2">
        <v>220104</v>
      </c>
      <c r="P140" s="2" t="s">
        <v>63</v>
      </c>
      <c r="Q140" s="4">
        <v>3521664</v>
      </c>
      <c r="R140" s="4">
        <v>104549.4</v>
      </c>
    </row>
    <row r="141" spans="1:18" x14ac:dyDescent="0.25">
      <c r="A141" s="2">
        <v>2022</v>
      </c>
      <c r="B141" s="2" t="s">
        <v>95</v>
      </c>
      <c r="C141" s="2" t="s">
        <v>59</v>
      </c>
      <c r="D141" s="2" t="s">
        <v>60</v>
      </c>
      <c r="E141" s="2" t="s">
        <v>100</v>
      </c>
      <c r="F141" s="2" t="s">
        <v>45</v>
      </c>
      <c r="G141" s="2">
        <v>46</v>
      </c>
      <c r="H141" s="2" t="s">
        <v>23</v>
      </c>
      <c r="I141" s="2" t="s">
        <v>24</v>
      </c>
      <c r="J141" s="3">
        <v>44607</v>
      </c>
      <c r="K141" s="2" t="s">
        <v>49</v>
      </c>
      <c r="L141" s="2" t="s">
        <v>34</v>
      </c>
      <c r="M141" s="2">
        <v>16</v>
      </c>
      <c r="N141" s="2">
        <v>99</v>
      </c>
      <c r="O141" s="2">
        <v>220104</v>
      </c>
      <c r="P141" s="2" t="s">
        <v>63</v>
      </c>
      <c r="Q141" s="4">
        <v>3521664</v>
      </c>
      <c r="R141" s="4">
        <v>104549.4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2DE7-1898-4457-BA7F-9A0F22FCED55}">
  <sheetPr codeName="Sheet2">
    <tabColor rgb="FFFF0000"/>
  </sheetPr>
  <dimension ref="A1:AC49"/>
  <sheetViews>
    <sheetView topLeftCell="M1" workbookViewId="0">
      <selection activeCell="S16" sqref="S16"/>
    </sheetView>
  </sheetViews>
  <sheetFormatPr defaultRowHeight="15" x14ac:dyDescent="0.25"/>
  <cols>
    <col min="1" max="1" width="14.28515625" bestFit="1" customWidth="1"/>
    <col min="2" max="2" width="22" bestFit="1" customWidth="1"/>
    <col min="3" max="3" width="4.5703125" customWidth="1"/>
    <col min="4" max="4" width="19.7109375" bestFit="1" customWidth="1"/>
    <col min="5" max="5" width="20.42578125" bestFit="1" customWidth="1"/>
    <col min="6" max="6" width="7.42578125" customWidth="1"/>
    <col min="7" max="7" width="13.42578125" bestFit="1" customWidth="1"/>
    <col min="8" max="8" width="21" bestFit="1" customWidth="1"/>
    <col min="9" max="9" width="3.28515625" customWidth="1"/>
    <col min="10" max="10" width="14.28515625" bestFit="1" customWidth="1"/>
    <col min="11" max="11" width="20.28515625" bestFit="1" customWidth="1"/>
    <col min="12" max="12" width="3.42578125" customWidth="1"/>
    <col min="13" max="13" width="14.28515625" bestFit="1" customWidth="1"/>
    <col min="14" max="14" width="20.42578125" bestFit="1" customWidth="1"/>
    <col min="15" max="15" width="3.85546875" customWidth="1"/>
    <col min="16" max="16" width="13.42578125" bestFit="1" customWidth="1"/>
    <col min="17" max="17" width="22" bestFit="1" customWidth="1"/>
    <col min="18" max="18" width="11.42578125" customWidth="1"/>
    <col min="19" max="19" width="13.42578125" bestFit="1" customWidth="1"/>
    <col min="20" max="20" width="21" bestFit="1" customWidth="1"/>
    <col min="21" max="21" width="22.140625" bestFit="1" customWidth="1"/>
    <col min="22" max="22" width="14.42578125" customWidth="1"/>
    <col min="23" max="23" width="14.42578125" bestFit="1" customWidth="1"/>
    <col min="24" max="24" width="20.42578125" style="17" bestFit="1" customWidth="1"/>
    <col min="25" max="25" width="22" style="15" bestFit="1" customWidth="1"/>
    <col min="26" max="26" width="12.42578125" customWidth="1"/>
    <col min="28" max="28" width="13.42578125" bestFit="1" customWidth="1"/>
    <col min="29" max="29" width="12.7109375" bestFit="1" customWidth="1"/>
    <col min="30" max="30" width="22" bestFit="1" customWidth="1"/>
  </cols>
  <sheetData>
    <row r="1" spans="1:25" ht="15.75" x14ac:dyDescent="0.25">
      <c r="G1" s="21" t="s">
        <v>119</v>
      </c>
      <c r="H1" s="22"/>
      <c r="J1" s="23" t="s">
        <v>120</v>
      </c>
      <c r="K1" s="21"/>
      <c r="M1" s="23" t="s">
        <v>121</v>
      </c>
      <c r="N1" s="21"/>
      <c r="P1" s="21" t="s">
        <v>122</v>
      </c>
      <c r="Q1" s="21"/>
      <c r="R1" s="21"/>
      <c r="T1" s="21" t="s">
        <v>123</v>
      </c>
      <c r="U1" s="21"/>
      <c r="V1" s="21"/>
      <c r="X1" s="20" t="s">
        <v>124</v>
      </c>
      <c r="Y1" s="20"/>
    </row>
    <row r="2" spans="1:25" x14ac:dyDescent="0.25">
      <c r="D2" s="11" t="s">
        <v>110</v>
      </c>
      <c r="E2" s="11" t="s">
        <v>111</v>
      </c>
      <c r="G2" s="7" t="s">
        <v>102</v>
      </c>
      <c r="H2" s="7" t="s">
        <v>105</v>
      </c>
      <c r="J2" s="7" t="s">
        <v>102</v>
      </c>
      <c r="K2" s="7" t="s">
        <v>104</v>
      </c>
      <c r="M2" s="7" t="s">
        <v>102</v>
      </c>
      <c r="N2" s="7" t="s">
        <v>105</v>
      </c>
      <c r="P2" s="7" t="s">
        <v>102</v>
      </c>
      <c r="Q2" s="7" t="s">
        <v>117</v>
      </c>
      <c r="R2" s="7" t="s">
        <v>116</v>
      </c>
      <c r="T2" s="7" t="s">
        <v>102</v>
      </c>
      <c r="U2" s="7" t="s">
        <v>118</v>
      </c>
      <c r="V2" s="7" t="s">
        <v>13</v>
      </c>
      <c r="X2" s="16" t="s">
        <v>102</v>
      </c>
      <c r="Y2" s="18" t="s">
        <v>17</v>
      </c>
    </row>
    <row r="3" spans="1:25" x14ac:dyDescent="0.25">
      <c r="A3" s="7" t="s">
        <v>102</v>
      </c>
      <c r="B3" s="7" t="s">
        <v>104</v>
      </c>
      <c r="D3" s="10" t="s">
        <v>112</v>
      </c>
      <c r="E3" s="12">
        <f>GETPIVOTDATA("Hotel Name",$J$20)</f>
        <v>140</v>
      </c>
      <c r="G3" s="6" t="s">
        <v>37</v>
      </c>
      <c r="H3">
        <f t="shared" ref="H3:H10" si="0">GETPIVOTDATA("Room Booked",$M$20,"Hotel Name",G3)</f>
        <v>1004</v>
      </c>
      <c r="J3" s="6" t="s">
        <v>72</v>
      </c>
      <c r="K3">
        <f>GETPIVOTDATA("Room Available",$P$20,"City",J3)</f>
        <v>1902</v>
      </c>
      <c r="M3" s="6" t="s">
        <v>20</v>
      </c>
      <c r="N3">
        <f>GETPIVOTDATA("Room Booked",$D$20,"Country",M3)</f>
        <v>753</v>
      </c>
      <c r="P3" s="6" t="s">
        <v>24</v>
      </c>
      <c r="Q3">
        <f>GETPIVOTDATA("Count of Customer ID",$S$20,"Customer Type",P3)</f>
        <v>95</v>
      </c>
      <c r="R3" s="8">
        <f>GETPIVOTDATA("Count of Customer ID2",$S$20,"Customer Type",P3)</f>
        <v>0.6785714285714286</v>
      </c>
      <c r="T3" s="6" t="s">
        <v>80</v>
      </c>
      <c r="U3">
        <f>GETPIVOTDATA("Sum of Room Booked",$W$22,"Room Type",T3)</f>
        <v>338</v>
      </c>
      <c r="V3">
        <f>GETPIVOTDATA("Sum of Room Available",$W$22,"Room Type",T3)</f>
        <v>916</v>
      </c>
      <c r="X3" s="17" t="s">
        <v>18</v>
      </c>
      <c r="Y3" s="19">
        <f>GETPIVOTDATA("Profit",$AB$20,"Month",X3)</f>
        <v>1108296.3</v>
      </c>
    </row>
    <row r="4" spans="1:25" x14ac:dyDescent="0.25">
      <c r="A4" s="6" t="s">
        <v>59</v>
      </c>
      <c r="B4">
        <f t="shared" ref="B4:B11" si="1">GETPIVOTDATA("Room Available",$A$20,"Hotel Name",A4)</f>
        <v>2093</v>
      </c>
      <c r="D4" s="10" t="s">
        <v>113</v>
      </c>
      <c r="E4" s="13">
        <f>GETPIVOTDATA("Profit",$AB$20)</f>
        <v>11053891.499999998</v>
      </c>
      <c r="G4" s="6" t="s">
        <v>29</v>
      </c>
      <c r="H4">
        <f t="shared" si="0"/>
        <v>622</v>
      </c>
      <c r="J4" s="6" t="s">
        <v>96</v>
      </c>
      <c r="K4">
        <f>GETPIVOTDATA("Room Available",$P$20,"City",J4)</f>
        <v>1112</v>
      </c>
      <c r="M4" s="6" t="s">
        <v>38</v>
      </c>
      <c r="N4">
        <f t="shared" ref="N4:N8" si="2">GETPIVOTDATA("Room Booked",$D$20,"Country",M4)</f>
        <v>889</v>
      </c>
      <c r="P4" s="6" t="s">
        <v>41</v>
      </c>
      <c r="Q4">
        <f>GETPIVOTDATA("Count of Customer ID",$S$20,"Customer Type",P4)</f>
        <v>45</v>
      </c>
      <c r="R4" s="8">
        <f>GETPIVOTDATA("Count of Customer ID2",$S$20,"Customer Type",P4)</f>
        <v>0.32142857142857145</v>
      </c>
      <c r="T4" s="6" t="s">
        <v>42</v>
      </c>
      <c r="U4">
        <f>GETPIVOTDATA("Sum of Room Booked",$W$22,"Room Type",T4)</f>
        <v>504</v>
      </c>
      <c r="V4">
        <f>GETPIVOTDATA("Sum of Room Available",$W$22,"Room Type",T4)</f>
        <v>1902</v>
      </c>
      <c r="X4" s="17" t="s">
        <v>95</v>
      </c>
      <c r="Y4" s="19">
        <f t="shared" ref="Y4:Y14" si="3">GETPIVOTDATA("Profit",$AB$20,"Month",X4)</f>
        <v>953682.00000000012</v>
      </c>
    </row>
    <row r="5" spans="1:25" x14ac:dyDescent="0.25">
      <c r="A5" s="6" t="s">
        <v>29</v>
      </c>
      <c r="B5">
        <f t="shared" si="1"/>
        <v>2120</v>
      </c>
      <c r="D5" s="10" t="s">
        <v>125</v>
      </c>
      <c r="E5" s="14">
        <f>GETPIVOTDATA("Room Available",$A$20)</f>
        <v>14688</v>
      </c>
      <c r="G5" s="6" t="s">
        <v>87</v>
      </c>
      <c r="H5">
        <f t="shared" si="0"/>
        <v>425</v>
      </c>
      <c r="J5" s="6" t="s">
        <v>101</v>
      </c>
      <c r="K5">
        <f>GETPIVOTDATA("Room Available",$P$20,"City",J5)</f>
        <v>1132</v>
      </c>
      <c r="M5" s="6" t="s">
        <v>92</v>
      </c>
      <c r="N5">
        <f t="shared" si="2"/>
        <v>352</v>
      </c>
      <c r="T5" s="6" t="s">
        <v>65</v>
      </c>
      <c r="U5">
        <f>GETPIVOTDATA("Sum of Room Booked",$W$22,"Room Type",T5)</f>
        <v>413</v>
      </c>
      <c r="V5">
        <f>GETPIVOTDATA("Sum of Room Available",$W$22,"Room Type",T5)</f>
        <v>1951</v>
      </c>
      <c r="X5" s="17" t="s">
        <v>53</v>
      </c>
      <c r="Y5" s="19">
        <f t="shared" si="3"/>
        <v>537684.29999999993</v>
      </c>
    </row>
    <row r="6" spans="1:25" x14ac:dyDescent="0.25">
      <c r="A6" s="6" t="s">
        <v>94</v>
      </c>
      <c r="B6">
        <f t="shared" si="1"/>
        <v>1676</v>
      </c>
      <c r="D6" s="10" t="s">
        <v>114</v>
      </c>
      <c r="E6" s="12">
        <f>GETPIVOTDATA("Room Booked",$D$20)</f>
        <v>3370</v>
      </c>
      <c r="G6" s="6" t="s">
        <v>19</v>
      </c>
      <c r="H6">
        <f t="shared" si="0"/>
        <v>361</v>
      </c>
      <c r="J6" s="6" t="s">
        <v>100</v>
      </c>
      <c r="K6">
        <f>GETPIVOTDATA("Room Available",$P$20,"City",J6)</f>
        <v>1504</v>
      </c>
      <c r="M6" s="6" t="s">
        <v>71</v>
      </c>
      <c r="N6">
        <f t="shared" si="2"/>
        <v>421</v>
      </c>
      <c r="T6" s="6" t="s">
        <v>25</v>
      </c>
      <c r="U6">
        <f>GETPIVOTDATA("Sum of Room Booked",$W$22,"Room Type",T6)</f>
        <v>397</v>
      </c>
      <c r="V6">
        <f>GETPIVOTDATA("Sum of Room Available",$W$22,"Room Type",T6)</f>
        <v>2079</v>
      </c>
      <c r="X6" s="17" t="s">
        <v>28</v>
      </c>
      <c r="Y6" s="19">
        <f t="shared" si="3"/>
        <v>413129.4</v>
      </c>
    </row>
    <row r="7" spans="1:25" x14ac:dyDescent="0.25">
      <c r="A7" s="6" t="s">
        <v>91</v>
      </c>
      <c r="B7">
        <f t="shared" si="1"/>
        <v>589</v>
      </c>
      <c r="D7" s="10" t="s">
        <v>115</v>
      </c>
      <c r="E7" s="12">
        <f>COUNTA(G21:G48)</f>
        <v>28</v>
      </c>
      <c r="G7" s="6" t="s">
        <v>94</v>
      </c>
      <c r="H7">
        <f t="shared" si="0"/>
        <v>320</v>
      </c>
      <c r="J7" s="6" t="s">
        <v>31</v>
      </c>
      <c r="K7">
        <f>GETPIVOTDATA("Room Available",$P$20,"City",J7)</f>
        <v>566</v>
      </c>
      <c r="M7" s="6" t="s">
        <v>30</v>
      </c>
      <c r="N7">
        <f t="shared" si="2"/>
        <v>471</v>
      </c>
      <c r="T7" s="6" t="s">
        <v>46</v>
      </c>
      <c r="U7">
        <f>GETPIVOTDATA("Sum of Room Booked",$W$22,"Room Type",T7)</f>
        <v>412</v>
      </c>
      <c r="V7">
        <f>GETPIVOTDATA("Sum of Room Available",$W$22,"Room Type",T7)</f>
        <v>2154</v>
      </c>
      <c r="X7" s="17" t="s">
        <v>57</v>
      </c>
      <c r="Y7" s="19">
        <f t="shared" si="3"/>
        <v>916020.29999999993</v>
      </c>
    </row>
    <row r="8" spans="1:25" x14ac:dyDescent="0.25">
      <c r="A8" s="6" t="s">
        <v>37</v>
      </c>
      <c r="B8">
        <f t="shared" si="1"/>
        <v>3348</v>
      </c>
      <c r="D8" s="10" t="s">
        <v>4</v>
      </c>
      <c r="E8" s="12">
        <f>COUNTA(P21:P32)</f>
        <v>12</v>
      </c>
      <c r="G8" s="6" t="s">
        <v>70</v>
      </c>
      <c r="H8">
        <f t="shared" si="0"/>
        <v>256</v>
      </c>
      <c r="J8" s="6" t="s">
        <v>99</v>
      </c>
      <c r="K8">
        <f>GETPIVOTDATA("Room Available",$P$20,"City",J8)</f>
        <v>752</v>
      </c>
      <c r="M8" s="6" t="s">
        <v>60</v>
      </c>
      <c r="N8">
        <f t="shared" si="2"/>
        <v>484</v>
      </c>
      <c r="T8" s="6" t="s">
        <v>68</v>
      </c>
      <c r="U8">
        <f>GETPIVOTDATA("Sum of Room Booked",$W$22,"Room Type",T8)</f>
        <v>456</v>
      </c>
      <c r="V8">
        <f>GETPIVOTDATA("Sum of Room Available",$W$22,"Room Type",T8)</f>
        <v>2163</v>
      </c>
      <c r="X8" s="17" t="s">
        <v>36</v>
      </c>
      <c r="Y8" s="19">
        <f t="shared" si="3"/>
        <v>1321515.5999999999</v>
      </c>
    </row>
    <row r="9" spans="1:25" x14ac:dyDescent="0.25">
      <c r="A9" s="6" t="s">
        <v>19</v>
      </c>
      <c r="B9">
        <f t="shared" si="1"/>
        <v>2100</v>
      </c>
      <c r="D9" s="10" t="s">
        <v>3</v>
      </c>
      <c r="E9" s="12">
        <f>COUNTA(D21:D26)</f>
        <v>6</v>
      </c>
      <c r="G9" s="6" t="s">
        <v>59</v>
      </c>
      <c r="H9">
        <f t="shared" si="0"/>
        <v>250</v>
      </c>
      <c r="J9" s="6" t="s">
        <v>97</v>
      </c>
      <c r="K9">
        <f>GETPIVOTDATA("Room Available",$P$20,"City",J9)</f>
        <v>1270</v>
      </c>
      <c r="T9" s="6" t="s">
        <v>49</v>
      </c>
      <c r="U9">
        <f>GETPIVOTDATA("Sum of Room Booked",$W$22,"Room Type",T9)</f>
        <v>850</v>
      </c>
      <c r="V9">
        <f>GETPIVOTDATA("Sum of Room Available",$W$22,"Room Type",T9)</f>
        <v>3523</v>
      </c>
      <c r="X9" s="17" t="s">
        <v>76</v>
      </c>
      <c r="Y9" s="19">
        <f t="shared" si="3"/>
        <v>369928.80000000005</v>
      </c>
    </row>
    <row r="10" spans="1:25" x14ac:dyDescent="0.25">
      <c r="A10" s="6" t="s">
        <v>70</v>
      </c>
      <c r="B10">
        <f t="shared" si="1"/>
        <v>998</v>
      </c>
      <c r="G10" s="6" t="s">
        <v>91</v>
      </c>
      <c r="H10">
        <f t="shared" si="0"/>
        <v>132</v>
      </c>
      <c r="J10" s="6" t="s">
        <v>98</v>
      </c>
      <c r="K10">
        <f>GETPIVOTDATA("Room Available",$P$20,"City",J10)</f>
        <v>1352</v>
      </c>
      <c r="X10" s="17" t="s">
        <v>55</v>
      </c>
      <c r="Y10" s="19">
        <f t="shared" si="3"/>
        <v>1392664.1999999997</v>
      </c>
    </row>
    <row r="11" spans="1:25" x14ac:dyDescent="0.25">
      <c r="A11" s="6" t="s">
        <v>87</v>
      </c>
      <c r="B11">
        <f t="shared" si="1"/>
        <v>1764</v>
      </c>
      <c r="J11" s="6" t="s">
        <v>39</v>
      </c>
      <c r="K11">
        <f>GETPIVOTDATA("Room Available",$P$20,"City",J11)</f>
        <v>1683</v>
      </c>
      <c r="X11" s="17" t="s">
        <v>51</v>
      </c>
      <c r="Y11" s="19">
        <f t="shared" si="3"/>
        <v>809486.10000000009</v>
      </c>
    </row>
    <row r="12" spans="1:25" x14ac:dyDescent="0.25">
      <c r="J12" s="6" t="s">
        <v>61</v>
      </c>
      <c r="K12">
        <f>GETPIVOTDATA("Room Available",$P$20,"City",J12)</f>
        <v>752</v>
      </c>
      <c r="X12" s="17" t="s">
        <v>44</v>
      </c>
      <c r="Y12" s="19">
        <f t="shared" si="3"/>
        <v>819174.29999999993</v>
      </c>
    </row>
    <row r="13" spans="1:25" x14ac:dyDescent="0.25">
      <c r="J13" s="6" t="s">
        <v>93</v>
      </c>
      <c r="K13">
        <f>GETPIVOTDATA("Room Available",$P$20,"City",J13)</f>
        <v>191</v>
      </c>
      <c r="X13" s="17" t="s">
        <v>69</v>
      </c>
      <c r="Y13" s="19">
        <f t="shared" si="3"/>
        <v>766944.6</v>
      </c>
    </row>
    <row r="14" spans="1:25" x14ac:dyDescent="0.25">
      <c r="J14" s="6" t="s">
        <v>21</v>
      </c>
      <c r="K14">
        <f>GETPIVOTDATA("Room Available",$P$20,"City",J14)</f>
        <v>2472</v>
      </c>
      <c r="X14" s="17" t="s">
        <v>47</v>
      </c>
      <c r="Y14" s="19">
        <f t="shared" si="3"/>
        <v>1645365.6</v>
      </c>
    </row>
    <row r="20" spans="1:29" x14ac:dyDescent="0.25">
      <c r="A20" s="5" t="s">
        <v>102</v>
      </c>
      <c r="B20" t="s">
        <v>104</v>
      </c>
      <c r="D20" s="5" t="s">
        <v>102</v>
      </c>
      <c r="E20" t="s">
        <v>105</v>
      </c>
      <c r="G20" s="5" t="s">
        <v>102</v>
      </c>
      <c r="H20" t="s">
        <v>106</v>
      </c>
      <c r="J20" s="5" t="s">
        <v>102</v>
      </c>
      <c r="K20" t="s">
        <v>107</v>
      </c>
      <c r="M20" s="5" t="s">
        <v>102</v>
      </c>
      <c r="N20" t="s">
        <v>105</v>
      </c>
      <c r="P20" s="5" t="s">
        <v>102</v>
      </c>
      <c r="Q20" t="s">
        <v>104</v>
      </c>
      <c r="S20" s="5" t="s">
        <v>102</v>
      </c>
      <c r="T20" t="s">
        <v>106</v>
      </c>
      <c r="U20" t="s">
        <v>108</v>
      </c>
      <c r="AB20" s="5" t="s">
        <v>102</v>
      </c>
      <c r="AC20" t="s">
        <v>109</v>
      </c>
    </row>
    <row r="21" spans="1:29" x14ac:dyDescent="0.25">
      <c r="A21" s="6" t="s">
        <v>59</v>
      </c>
      <c r="B21" s="24">
        <v>2093</v>
      </c>
      <c r="D21" s="6" t="s">
        <v>20</v>
      </c>
      <c r="E21" s="24">
        <v>753</v>
      </c>
      <c r="G21" s="6" t="s">
        <v>22</v>
      </c>
      <c r="H21" s="24">
        <v>6</v>
      </c>
      <c r="J21" s="6" t="s">
        <v>59</v>
      </c>
      <c r="K21" s="24">
        <v>20</v>
      </c>
      <c r="M21" s="6" t="s">
        <v>59</v>
      </c>
      <c r="N21" s="24">
        <v>250</v>
      </c>
      <c r="P21" s="6" t="s">
        <v>72</v>
      </c>
      <c r="Q21" s="24">
        <v>1902</v>
      </c>
      <c r="S21" s="6" t="s">
        <v>24</v>
      </c>
      <c r="T21" s="24">
        <v>95</v>
      </c>
      <c r="U21" s="8">
        <v>0.6785714285714286</v>
      </c>
      <c r="AB21" s="6" t="s">
        <v>18</v>
      </c>
      <c r="AC21" s="9">
        <v>1108296.3</v>
      </c>
    </row>
    <row r="22" spans="1:29" x14ac:dyDescent="0.25">
      <c r="A22" s="6" t="s">
        <v>29</v>
      </c>
      <c r="B22" s="24">
        <v>2120</v>
      </c>
      <c r="D22" s="6" t="s">
        <v>38</v>
      </c>
      <c r="E22" s="24">
        <v>889</v>
      </c>
      <c r="G22" s="6" t="s">
        <v>32</v>
      </c>
      <c r="H22" s="24">
        <v>5</v>
      </c>
      <c r="J22" s="6" t="s">
        <v>29</v>
      </c>
      <c r="K22" s="24">
        <v>19</v>
      </c>
      <c r="M22" s="6" t="s">
        <v>29</v>
      </c>
      <c r="N22" s="24">
        <v>622</v>
      </c>
      <c r="P22" s="6" t="s">
        <v>96</v>
      </c>
      <c r="Q22" s="24">
        <v>1112</v>
      </c>
      <c r="S22" s="6" t="s">
        <v>41</v>
      </c>
      <c r="T22" s="24">
        <v>45</v>
      </c>
      <c r="U22" s="8">
        <v>0.32142857142857145</v>
      </c>
      <c r="W22" s="5" t="s">
        <v>102</v>
      </c>
      <c r="X22" s="17" t="s">
        <v>105</v>
      </c>
      <c r="Y22" s="15" t="s">
        <v>104</v>
      </c>
      <c r="AB22" s="6" t="s">
        <v>95</v>
      </c>
      <c r="AC22" s="9">
        <v>953682.00000000012</v>
      </c>
    </row>
    <row r="23" spans="1:29" x14ac:dyDescent="0.25">
      <c r="A23" s="6" t="s">
        <v>94</v>
      </c>
      <c r="B23" s="24">
        <v>1676</v>
      </c>
      <c r="D23" s="6" t="s">
        <v>92</v>
      </c>
      <c r="E23" s="24">
        <v>352</v>
      </c>
      <c r="G23" s="6" t="s">
        <v>40</v>
      </c>
      <c r="H23" s="24">
        <v>5</v>
      </c>
      <c r="J23" s="6" t="s">
        <v>94</v>
      </c>
      <c r="K23" s="24">
        <v>16</v>
      </c>
      <c r="M23" s="6" t="s">
        <v>94</v>
      </c>
      <c r="N23" s="24">
        <v>320</v>
      </c>
      <c r="P23" s="6" t="s">
        <v>101</v>
      </c>
      <c r="Q23" s="24">
        <v>1132</v>
      </c>
      <c r="S23" s="6" t="s">
        <v>103</v>
      </c>
      <c r="T23" s="24">
        <v>140</v>
      </c>
      <c r="U23" s="8">
        <v>1</v>
      </c>
      <c r="W23" s="6" t="s">
        <v>25</v>
      </c>
      <c r="X23" s="26">
        <v>397</v>
      </c>
      <c r="Y23" s="25">
        <v>2079</v>
      </c>
      <c r="AB23" s="6" t="s">
        <v>53</v>
      </c>
      <c r="AC23" s="9">
        <v>537684.29999999993</v>
      </c>
    </row>
    <row r="24" spans="1:29" x14ac:dyDescent="0.25">
      <c r="A24" s="6" t="s">
        <v>91</v>
      </c>
      <c r="B24" s="24">
        <v>589</v>
      </c>
      <c r="D24" s="6" t="s">
        <v>71</v>
      </c>
      <c r="E24" s="24">
        <v>421</v>
      </c>
      <c r="G24" s="6" t="s">
        <v>45</v>
      </c>
      <c r="H24" s="24">
        <v>6</v>
      </c>
      <c r="J24" s="6" t="s">
        <v>91</v>
      </c>
      <c r="K24" s="24">
        <v>6</v>
      </c>
      <c r="M24" s="6" t="s">
        <v>91</v>
      </c>
      <c r="N24" s="24">
        <v>132</v>
      </c>
      <c r="P24" s="6" t="s">
        <v>100</v>
      </c>
      <c r="Q24" s="24">
        <v>1504</v>
      </c>
      <c r="W24" s="6" t="s">
        <v>68</v>
      </c>
      <c r="X24" s="26">
        <v>456</v>
      </c>
      <c r="Y24" s="25">
        <v>2163</v>
      </c>
      <c r="AB24" s="6" t="s">
        <v>28</v>
      </c>
      <c r="AC24" s="9">
        <v>413129.4</v>
      </c>
    </row>
    <row r="25" spans="1:29" x14ac:dyDescent="0.25">
      <c r="A25" s="6" t="s">
        <v>37</v>
      </c>
      <c r="B25" s="24">
        <v>3348</v>
      </c>
      <c r="D25" s="6" t="s">
        <v>30</v>
      </c>
      <c r="E25" s="24">
        <v>471</v>
      </c>
      <c r="G25" s="6" t="s">
        <v>48</v>
      </c>
      <c r="H25" s="24">
        <v>5</v>
      </c>
      <c r="J25" s="6" t="s">
        <v>37</v>
      </c>
      <c r="K25" s="24">
        <v>31</v>
      </c>
      <c r="M25" s="6" t="s">
        <v>37</v>
      </c>
      <c r="N25" s="24">
        <v>1004</v>
      </c>
      <c r="P25" s="6" t="s">
        <v>31</v>
      </c>
      <c r="Q25" s="24">
        <v>566</v>
      </c>
      <c r="W25" s="6" t="s">
        <v>80</v>
      </c>
      <c r="X25" s="26">
        <v>338</v>
      </c>
      <c r="Y25" s="25">
        <v>916</v>
      </c>
      <c r="AB25" s="6" t="s">
        <v>57</v>
      </c>
      <c r="AC25" s="9">
        <v>916020.29999999993</v>
      </c>
    </row>
    <row r="26" spans="1:29" x14ac:dyDescent="0.25">
      <c r="A26" s="6" t="s">
        <v>19</v>
      </c>
      <c r="B26" s="24">
        <v>2100</v>
      </c>
      <c r="D26" s="6" t="s">
        <v>60</v>
      </c>
      <c r="E26" s="24">
        <v>484</v>
      </c>
      <c r="G26" s="6" t="s">
        <v>52</v>
      </c>
      <c r="H26" s="24">
        <v>5</v>
      </c>
      <c r="J26" s="6" t="s">
        <v>19</v>
      </c>
      <c r="K26" s="24">
        <v>20</v>
      </c>
      <c r="M26" s="6" t="s">
        <v>19</v>
      </c>
      <c r="N26" s="24">
        <v>361</v>
      </c>
      <c r="P26" s="6" t="s">
        <v>99</v>
      </c>
      <c r="Q26" s="24">
        <v>752</v>
      </c>
      <c r="W26" s="6" t="s">
        <v>65</v>
      </c>
      <c r="X26" s="26">
        <v>413</v>
      </c>
      <c r="Y26" s="25">
        <v>1951</v>
      </c>
      <c r="AB26" s="6" t="s">
        <v>36</v>
      </c>
      <c r="AC26" s="9">
        <v>1321515.5999999999</v>
      </c>
    </row>
    <row r="27" spans="1:29" x14ac:dyDescent="0.25">
      <c r="A27" s="6" t="s">
        <v>70</v>
      </c>
      <c r="B27" s="24">
        <v>998</v>
      </c>
      <c r="D27" s="6" t="s">
        <v>103</v>
      </c>
      <c r="E27" s="24">
        <v>3370</v>
      </c>
      <c r="G27" s="6" t="s">
        <v>54</v>
      </c>
      <c r="H27" s="24">
        <v>6</v>
      </c>
      <c r="J27" s="6" t="s">
        <v>70</v>
      </c>
      <c r="K27" s="24">
        <v>10</v>
      </c>
      <c r="M27" s="6" t="s">
        <v>70</v>
      </c>
      <c r="N27" s="24">
        <v>256</v>
      </c>
      <c r="P27" s="6" t="s">
        <v>97</v>
      </c>
      <c r="Q27" s="24">
        <v>1270</v>
      </c>
      <c r="W27" s="6" t="s">
        <v>49</v>
      </c>
      <c r="X27" s="26">
        <v>850</v>
      </c>
      <c r="Y27" s="25">
        <v>3523</v>
      </c>
      <c r="AB27" s="6" t="s">
        <v>76</v>
      </c>
      <c r="AC27" s="9">
        <v>369928.80000000005</v>
      </c>
    </row>
    <row r="28" spans="1:29" x14ac:dyDescent="0.25">
      <c r="A28" s="6" t="s">
        <v>87</v>
      </c>
      <c r="B28" s="24">
        <v>1764</v>
      </c>
      <c r="G28" s="6" t="s">
        <v>56</v>
      </c>
      <c r="H28" s="24">
        <v>5</v>
      </c>
      <c r="J28" s="6" t="s">
        <v>87</v>
      </c>
      <c r="K28" s="24">
        <v>18</v>
      </c>
      <c r="M28" s="6" t="s">
        <v>87</v>
      </c>
      <c r="N28" s="24">
        <v>425</v>
      </c>
      <c r="P28" s="6" t="s">
        <v>98</v>
      </c>
      <c r="Q28" s="24">
        <v>1352</v>
      </c>
      <c r="W28" s="6" t="s">
        <v>42</v>
      </c>
      <c r="X28" s="26">
        <v>504</v>
      </c>
      <c r="Y28" s="25">
        <v>1902</v>
      </c>
      <c r="AB28" s="6" t="s">
        <v>55</v>
      </c>
      <c r="AC28" s="9">
        <v>1392664.1999999997</v>
      </c>
    </row>
    <row r="29" spans="1:29" x14ac:dyDescent="0.25">
      <c r="A29" s="6" t="s">
        <v>103</v>
      </c>
      <c r="B29" s="24">
        <v>14688</v>
      </c>
      <c r="G29" s="6" t="s">
        <v>58</v>
      </c>
      <c r="H29" s="24">
        <v>5</v>
      </c>
      <c r="J29" s="6" t="s">
        <v>103</v>
      </c>
      <c r="K29" s="24">
        <v>140</v>
      </c>
      <c r="M29" s="6" t="s">
        <v>103</v>
      </c>
      <c r="N29" s="24">
        <v>3370</v>
      </c>
      <c r="P29" s="6" t="s">
        <v>39</v>
      </c>
      <c r="Q29" s="24">
        <v>1683</v>
      </c>
      <c r="W29" s="6" t="s">
        <v>46</v>
      </c>
      <c r="X29" s="26">
        <v>412</v>
      </c>
      <c r="Y29" s="25">
        <v>2154</v>
      </c>
      <c r="AB29" s="6" t="s">
        <v>51</v>
      </c>
      <c r="AC29" s="9">
        <v>809486.10000000009</v>
      </c>
    </row>
    <row r="30" spans="1:29" x14ac:dyDescent="0.25">
      <c r="G30" s="6" t="s">
        <v>62</v>
      </c>
      <c r="H30" s="24">
        <v>6</v>
      </c>
      <c r="P30" s="6" t="s">
        <v>61</v>
      </c>
      <c r="Q30" s="24">
        <v>752</v>
      </c>
      <c r="W30" s="6" t="s">
        <v>103</v>
      </c>
      <c r="X30" s="26">
        <v>3370</v>
      </c>
      <c r="Y30" s="25">
        <v>14688</v>
      </c>
      <c r="AB30" s="6" t="s">
        <v>44</v>
      </c>
      <c r="AC30" s="9">
        <v>819174.29999999993</v>
      </c>
    </row>
    <row r="31" spans="1:29" x14ac:dyDescent="0.25">
      <c r="G31" s="6" t="s">
        <v>64</v>
      </c>
      <c r="H31" s="24">
        <v>6</v>
      </c>
      <c r="P31" s="6" t="s">
        <v>93</v>
      </c>
      <c r="Q31" s="24">
        <v>191</v>
      </c>
      <c r="AB31" s="6" t="s">
        <v>69</v>
      </c>
      <c r="AC31" s="9">
        <v>766944.6</v>
      </c>
    </row>
    <row r="32" spans="1:29" x14ac:dyDescent="0.25">
      <c r="G32" s="6" t="s">
        <v>66</v>
      </c>
      <c r="H32" s="24">
        <v>5</v>
      </c>
      <c r="P32" s="6" t="s">
        <v>21</v>
      </c>
      <c r="Q32" s="24">
        <v>2472</v>
      </c>
      <c r="AB32" s="6" t="s">
        <v>47</v>
      </c>
      <c r="AC32" s="9">
        <v>1645365.6</v>
      </c>
    </row>
    <row r="33" spans="7:29" x14ac:dyDescent="0.25">
      <c r="G33" s="6" t="s">
        <v>67</v>
      </c>
      <c r="H33" s="24">
        <v>5</v>
      </c>
      <c r="P33" s="6" t="s">
        <v>103</v>
      </c>
      <c r="Q33" s="24">
        <v>14688</v>
      </c>
      <c r="AB33" s="6" t="s">
        <v>103</v>
      </c>
      <c r="AC33" s="9">
        <v>11053891.499999998</v>
      </c>
    </row>
    <row r="34" spans="7:29" x14ac:dyDescent="0.25">
      <c r="G34" s="6" t="s">
        <v>73</v>
      </c>
      <c r="H34" s="24">
        <v>5</v>
      </c>
    </row>
    <row r="35" spans="7:29" x14ac:dyDescent="0.25">
      <c r="G35" s="6" t="s">
        <v>74</v>
      </c>
      <c r="H35" s="24">
        <v>5</v>
      </c>
    </row>
    <row r="36" spans="7:29" x14ac:dyDescent="0.25">
      <c r="G36" s="6" t="s">
        <v>75</v>
      </c>
      <c r="H36" s="24">
        <v>5</v>
      </c>
    </row>
    <row r="37" spans="7:29" x14ac:dyDescent="0.25">
      <c r="G37" s="6" t="s">
        <v>77</v>
      </c>
      <c r="H37" s="24">
        <v>5</v>
      </c>
    </row>
    <row r="38" spans="7:29" x14ac:dyDescent="0.25">
      <c r="G38" s="6" t="s">
        <v>78</v>
      </c>
      <c r="H38" s="24">
        <v>5</v>
      </c>
    </row>
    <row r="39" spans="7:29" x14ac:dyDescent="0.25">
      <c r="G39" s="6" t="s">
        <v>79</v>
      </c>
      <c r="H39" s="24">
        <v>5</v>
      </c>
    </row>
    <row r="40" spans="7:29" x14ac:dyDescent="0.25">
      <c r="G40" s="6" t="s">
        <v>81</v>
      </c>
      <c r="H40" s="24">
        <v>5</v>
      </c>
    </row>
    <row r="41" spans="7:29" x14ac:dyDescent="0.25">
      <c r="G41" s="6" t="s">
        <v>82</v>
      </c>
      <c r="H41" s="24">
        <v>4</v>
      </c>
    </row>
    <row r="42" spans="7:29" x14ac:dyDescent="0.25">
      <c r="G42" s="6" t="s">
        <v>83</v>
      </c>
      <c r="H42" s="24">
        <v>5</v>
      </c>
    </row>
    <row r="43" spans="7:29" x14ac:dyDescent="0.25">
      <c r="G43" s="6" t="s">
        <v>84</v>
      </c>
      <c r="H43" s="24">
        <v>5</v>
      </c>
    </row>
    <row r="44" spans="7:29" x14ac:dyDescent="0.25">
      <c r="G44" s="6" t="s">
        <v>85</v>
      </c>
      <c r="H44" s="24">
        <v>4</v>
      </c>
    </row>
    <row r="45" spans="7:29" x14ac:dyDescent="0.25">
      <c r="G45" s="6" t="s">
        <v>86</v>
      </c>
      <c r="H45" s="24">
        <v>4</v>
      </c>
    </row>
    <row r="46" spans="7:29" x14ac:dyDescent="0.25">
      <c r="G46" s="6" t="s">
        <v>88</v>
      </c>
      <c r="H46" s="24">
        <v>5</v>
      </c>
    </row>
    <row r="47" spans="7:29" x14ac:dyDescent="0.25">
      <c r="G47" s="6" t="s">
        <v>89</v>
      </c>
      <c r="H47" s="24">
        <v>4</v>
      </c>
    </row>
    <row r="48" spans="7:29" x14ac:dyDescent="0.25">
      <c r="G48" s="6" t="s">
        <v>90</v>
      </c>
      <c r="H48" s="24">
        <v>4</v>
      </c>
    </row>
    <row r="49" spans="7:8" x14ac:dyDescent="0.25">
      <c r="G49" s="6" t="s">
        <v>103</v>
      </c>
      <c r="H49" s="24">
        <v>140</v>
      </c>
    </row>
  </sheetData>
  <autoFilter ref="T2:V2" xr:uid="{13BB2DE7-1898-4457-BA7F-9A0F22FCED55}">
    <sortState xmlns:xlrd2="http://schemas.microsoft.com/office/spreadsheetml/2017/richdata2" ref="T3:V9">
      <sortCondition ref="V2"/>
    </sortState>
  </autoFilter>
  <mergeCells count="6">
    <mergeCell ref="X1:Y1"/>
    <mergeCell ref="G1:H1"/>
    <mergeCell ref="J1:K1"/>
    <mergeCell ref="M1:N1"/>
    <mergeCell ref="P1:R1"/>
    <mergeCell ref="T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261D-A47B-466F-9E65-BA979B07AB15}">
  <sheetPr codeName="Sheet3">
    <tabColor theme="6" tint="0.39997558519241921"/>
  </sheetPr>
  <dimension ref="A1"/>
  <sheetViews>
    <sheetView showGridLines="0" tabSelected="1" topLeftCell="A2" zoomScale="60" zoomScaleNormal="60" workbookViewId="0">
      <selection activeCell="X18" sqref="X1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Sibi Mathai</cp:lastModifiedBy>
  <dcterms:created xsi:type="dcterms:W3CDTF">2026-01-31T01:07:16Z</dcterms:created>
  <dcterms:modified xsi:type="dcterms:W3CDTF">2026-03-14T07:03:29Z</dcterms:modified>
</cp:coreProperties>
</file>